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ago Dias\Dropbox\"/>
    </mc:Choice>
  </mc:AlternateContent>
  <bookViews>
    <workbookView xWindow="480" yWindow="180" windowWidth="19440" windowHeight="9975"/>
  </bookViews>
  <sheets>
    <sheet name="Face Support" sheetId="9" r:id="rId1"/>
  </sheets>
  <definedNames>
    <definedName name="solver_adj" localSheetId="0" hidden="1">'Face Support'!$B$13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'Face Support'!$B$18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 iterate="1"/>
</workbook>
</file>

<file path=xl/calcChain.xml><?xml version="1.0" encoding="utf-8"?>
<calcChain xmlns="http://schemas.openxmlformats.org/spreadsheetml/2006/main">
  <c r="L2" i="9" l="1"/>
  <c r="C16" i="9"/>
  <c r="B32" i="9"/>
  <c r="B25" i="9" l="1"/>
  <c r="B11" i="9" l="1"/>
  <c r="B10" i="9" l="1"/>
  <c r="B23" i="9" s="1"/>
  <c r="E3" i="9"/>
  <c r="G2" i="9"/>
  <c r="C17" i="9" l="1"/>
  <c r="C15" i="9"/>
  <c r="E4" i="9"/>
  <c r="I2" i="9"/>
  <c r="H2" i="9"/>
  <c r="G3" i="9"/>
  <c r="L3" i="9" s="1"/>
  <c r="F2" i="9"/>
  <c r="C18" i="9" l="1"/>
  <c r="G4" i="9"/>
  <c r="F4" i="9" s="1"/>
  <c r="E5" i="9"/>
  <c r="J2" i="9"/>
  <c r="K2" i="9" s="1"/>
  <c r="H3" i="9"/>
  <c r="I3" i="9"/>
  <c r="G5" i="9"/>
  <c r="F3" i="9"/>
  <c r="L4" i="9" l="1"/>
  <c r="I4" i="9"/>
  <c r="I5" i="9" s="1"/>
  <c r="E6" i="9"/>
  <c r="H4" i="9"/>
  <c r="H24" i="9" s="1"/>
  <c r="H25" i="9"/>
  <c r="J3" i="9"/>
  <c r="K3" i="9" s="1"/>
  <c r="F5" i="9"/>
  <c r="L5" i="9" l="1"/>
  <c r="E7" i="9"/>
  <c r="G7" i="9" s="1"/>
  <c r="G6" i="9"/>
  <c r="F6" i="9" s="1"/>
  <c r="H5" i="9"/>
  <c r="H23" i="9" s="1"/>
  <c r="J4" i="9"/>
  <c r="K25" i="9"/>
  <c r="J25" i="9"/>
  <c r="E8" i="9" l="1"/>
  <c r="K4" i="9"/>
  <c r="K24" i="9" s="1"/>
  <c r="L6" i="9"/>
  <c r="L7" i="9" s="1"/>
  <c r="I6" i="9"/>
  <c r="J5" i="9"/>
  <c r="J24" i="9"/>
  <c r="H6" i="9"/>
  <c r="H22" i="9" s="1"/>
  <c r="I7" i="9"/>
  <c r="F7" i="9"/>
  <c r="G8" i="9"/>
  <c r="E9" i="9"/>
  <c r="K5" i="9" l="1"/>
  <c r="K23" i="9" s="1"/>
  <c r="J23" i="9"/>
  <c r="L8" i="9"/>
  <c r="H7" i="9"/>
  <c r="H21" i="9" s="1"/>
  <c r="J6" i="9"/>
  <c r="I8" i="9"/>
  <c r="E10" i="9"/>
  <c r="G9" i="9"/>
  <c r="F8" i="9"/>
  <c r="J22" i="9" l="1"/>
  <c r="K6" i="9"/>
  <c r="K22" i="9" s="1"/>
  <c r="L9" i="9"/>
  <c r="J7" i="9"/>
  <c r="H8" i="9"/>
  <c r="H20" i="9" s="1"/>
  <c r="I9" i="9"/>
  <c r="F9" i="9"/>
  <c r="G10" i="9"/>
  <c r="E11" i="9"/>
  <c r="K7" i="9" l="1"/>
  <c r="K21" i="9" s="1"/>
  <c r="H9" i="9"/>
  <c r="H10" i="9" s="1"/>
  <c r="L10" i="9"/>
  <c r="J21" i="9"/>
  <c r="J8" i="9"/>
  <c r="K8" i="9" s="1"/>
  <c r="J9" i="9"/>
  <c r="K9" i="9" s="1"/>
  <c r="I10" i="9"/>
  <c r="F10" i="9"/>
  <c r="G11" i="9"/>
  <c r="E12" i="9"/>
  <c r="L11" i="9" l="1"/>
  <c r="J10" i="9"/>
  <c r="K10" i="9" s="1"/>
  <c r="I11" i="9"/>
  <c r="H11" i="9"/>
  <c r="F11" i="9"/>
  <c r="E13" i="9"/>
  <c r="G12" i="9"/>
  <c r="L12" i="9" l="1"/>
  <c r="I12" i="9"/>
  <c r="J11" i="9"/>
  <c r="K11" i="9" s="1"/>
  <c r="H12" i="9"/>
  <c r="F12" i="9"/>
  <c r="G13" i="9"/>
  <c r="E14" i="9"/>
  <c r="L13" i="9" l="1"/>
  <c r="K18" i="9"/>
  <c r="J18" i="9"/>
  <c r="J19" i="9"/>
  <c r="H16" i="9"/>
  <c r="K19" i="9"/>
  <c r="H17" i="9"/>
  <c r="K17" i="9"/>
  <c r="H18" i="9"/>
  <c r="J17" i="9"/>
  <c r="I13" i="9"/>
  <c r="J12" i="9"/>
  <c r="H13" i="9"/>
  <c r="H15" i="9" s="1"/>
  <c r="F13" i="9"/>
  <c r="G14" i="9"/>
  <c r="K12" i="9" l="1"/>
  <c r="K16" i="9" s="1"/>
  <c r="L14" i="9"/>
  <c r="J16" i="9"/>
  <c r="J13" i="9"/>
  <c r="K13" i="9" s="1"/>
  <c r="I14" i="9"/>
  <c r="H14" i="9"/>
  <c r="H19" i="9" s="1"/>
  <c r="F14" i="9"/>
  <c r="K15" i="9" l="1"/>
  <c r="J15" i="9"/>
  <c r="J14" i="9"/>
  <c r="K14" i="9" s="1"/>
  <c r="K20" i="9" l="1"/>
  <c r="J20" i="9"/>
  <c r="M2" i="9"/>
  <c r="N2" i="9" s="1"/>
  <c r="Q2" i="9"/>
  <c r="M3" i="9"/>
  <c r="N3" i="9" s="1"/>
  <c r="Q3" i="9"/>
  <c r="M4" i="9"/>
  <c r="N4" i="9" s="1"/>
  <c r="Q4" i="9"/>
  <c r="M5" i="9"/>
  <c r="N5" i="9" s="1"/>
  <c r="Q5" i="9"/>
  <c r="M6" i="9"/>
  <c r="N6" i="9" s="1"/>
  <c r="Q6" i="9"/>
  <c r="M7" i="9"/>
  <c r="N7" i="9" s="1"/>
  <c r="Q7" i="9"/>
  <c r="M8" i="9"/>
  <c r="N8" i="9" s="1"/>
  <c r="Q8" i="9"/>
  <c r="M9" i="9"/>
  <c r="N9" i="9" s="1"/>
  <c r="Q9" i="9"/>
  <c r="M10" i="9"/>
  <c r="N10" i="9" s="1"/>
  <c r="Q10" i="9"/>
  <c r="M11" i="9"/>
  <c r="N11" i="9" s="1"/>
  <c r="Q11" i="9"/>
  <c r="M12" i="9"/>
  <c r="N12" i="9" s="1"/>
  <c r="Q12" i="9"/>
  <c r="M13" i="9"/>
  <c r="N13" i="9" s="1"/>
  <c r="Q13" i="9"/>
  <c r="M14" i="9"/>
  <c r="N14" i="9" s="1"/>
  <c r="Q14" i="9"/>
  <c r="R11" i="9" l="1"/>
  <c r="O13" i="9"/>
  <c r="R12" i="9"/>
  <c r="R7" i="9"/>
  <c r="R3" i="9"/>
  <c r="O7" i="9"/>
  <c r="R13" i="9"/>
  <c r="R10" i="9"/>
  <c r="O12" i="9"/>
  <c r="P3" i="9"/>
  <c r="R8" i="9"/>
  <c r="R6" i="9"/>
  <c r="B15" i="9"/>
  <c r="O8" i="9"/>
  <c r="R4" i="9"/>
  <c r="O3" i="9"/>
  <c r="R14" i="9"/>
  <c r="R9" i="9"/>
  <c r="R5" i="9"/>
  <c r="O5" i="9"/>
  <c r="P6" i="9"/>
  <c r="P14" i="9"/>
  <c r="O14" i="9"/>
  <c r="O11" i="9"/>
  <c r="O6" i="9"/>
  <c r="P7" i="9"/>
  <c r="O4" i="9"/>
  <c r="P5" i="9"/>
  <c r="O10" i="9"/>
  <c r="P11" i="9"/>
  <c r="P9" i="9"/>
  <c r="O9" i="9"/>
  <c r="P10" i="9"/>
  <c r="P12" i="9"/>
  <c r="P13" i="9"/>
  <c r="P8" i="9"/>
  <c r="P4" i="9"/>
  <c r="B19" i="9" l="1"/>
  <c r="B16" i="9"/>
  <c r="B17" i="9"/>
  <c r="B18" i="9" l="1"/>
  <c r="B20" i="9" s="1"/>
  <c r="B21" i="9" s="1"/>
  <c r="B22" i="9" s="1"/>
  <c r="S3" i="9" l="1"/>
  <c r="S25" i="9" s="1"/>
  <c r="B24" i="9"/>
  <c r="B12" i="9"/>
  <c r="B28" i="9" s="1"/>
  <c r="B29" i="9" s="1"/>
  <c r="S14" i="9"/>
  <c r="S7" i="9"/>
  <c r="S21" i="9" s="1"/>
  <c r="S2" i="9"/>
  <c r="S8" i="9"/>
  <c r="S20" i="9" s="1"/>
  <c r="S4" i="9"/>
  <c r="S24" i="9" s="1"/>
  <c r="S11" i="9"/>
  <c r="S17" i="9" s="1"/>
  <c r="S6" i="9"/>
  <c r="S22" i="9" s="1"/>
  <c r="S5" i="9"/>
  <c r="S23" i="9" s="1"/>
  <c r="S13" i="9"/>
  <c r="S15" i="9" s="1"/>
  <c r="S12" i="9"/>
  <c r="S16" i="9" s="1"/>
  <c r="S10" i="9"/>
  <c r="S18" i="9" s="1"/>
  <c r="S9" i="9"/>
  <c r="S19" i="9" s="1"/>
  <c r="B31" i="9" l="1"/>
  <c r="B33" i="9"/>
</calcChain>
</file>

<file path=xl/comments1.xml><?xml version="1.0" encoding="utf-8"?>
<comments xmlns="http://schemas.openxmlformats.org/spreadsheetml/2006/main">
  <authors>
    <author>Tiago Dias</author>
    <author>TD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NO - calculation without the pore water pressure increments
YES - calculation considering the PWP increments</t>
        </r>
      </text>
    </comment>
    <comment ref="E1" authorId="1" shapeId="0">
      <text>
        <r>
          <rPr>
            <b/>
            <sz val="9"/>
            <color indexed="81"/>
            <rFont val="Tahoma"/>
            <family val="2"/>
          </rPr>
          <t>Discretization points at constant angular intervals from the tunnel roof (90º) to the tunnel invert (-90º)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Depth from the tunnel roof normalized by the tunnel diameter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1" shapeId="0">
      <text>
        <r>
          <rPr>
            <b/>
            <sz val="9"/>
            <color indexed="81"/>
            <rFont val="Tahoma"/>
            <family val="2"/>
          </rPr>
          <t>Depth from the tunnel roof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Total Vertical Stress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Hydrostatic pore water pressure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Total horizontal stress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Initial boundary pressure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X at the edge of the wedge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Average increment of water pressure, calculated by the integral formula A=, see below.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Total vertical stress - Hydrostatic pwp  - Average pwp increment.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"weight of the wedge", taken as the increment of vertical effective stress multiplied by wedge area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Lateral friction, set as the average vertical effective stress multiplied by K0, friction angle and area.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PWP increment at X=Xwedge, the pwp acting on the inclined side of the wedge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force due to pore water pressure, hydrostatic + uw at end of the wedge</t>
        </r>
      </text>
    </comment>
    <comment ref="S1" authorId="1" shapeId="0">
      <text>
        <r>
          <rPr>
            <b/>
            <sz val="9"/>
            <color indexed="81"/>
            <rFont val="Tahoma"/>
            <family val="2"/>
          </rPr>
          <t>Face pressure distribution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" authorId="1" shapeId="0">
      <text>
        <r>
          <rPr>
            <b/>
            <sz val="9"/>
            <color indexed="81"/>
            <rFont val="Tahoma"/>
            <family val="2"/>
          </rPr>
          <t>Tunnel Diameter</t>
        </r>
      </text>
    </comment>
    <comment ref="B3" authorId="1" shapeId="0">
      <text>
        <r>
          <rPr>
            <b/>
            <sz val="9"/>
            <color indexed="81"/>
            <rFont val="Tahoma"/>
            <family val="2"/>
          </rPr>
          <t>Tunnel Cover</t>
        </r>
      </text>
    </comment>
    <comment ref="B4" authorId="1" shapeId="0">
      <text>
        <r>
          <rPr>
            <b/>
            <sz val="9"/>
            <color indexed="81"/>
            <rFont val="Tahoma"/>
            <family val="2"/>
          </rPr>
          <t>Depth of groundwater level</t>
        </r>
      </text>
    </comment>
    <comment ref="B5" authorId="1" shapeId="0">
      <text>
        <r>
          <rPr>
            <b/>
            <sz val="9"/>
            <color indexed="81"/>
            <rFont val="Tahoma"/>
            <family val="2"/>
          </rPr>
          <t>Ground specific weight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Water specific weight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>Angle of friction (degrees)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Coefficient of earth pressure at rest</t>
        </r>
      </text>
    </comment>
    <comment ref="B9" authorId="1" shapeId="0">
      <text>
        <r>
          <rPr>
            <b/>
            <sz val="9"/>
            <color indexed="81"/>
            <rFont val="Tahoma"/>
            <family val="2"/>
          </rPr>
          <t>Mixture specific weight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1" shapeId="0">
      <text>
        <r>
          <rPr>
            <b/>
            <sz val="9"/>
            <color indexed="81"/>
            <rFont val="Tahoma"/>
            <family val="2"/>
          </rPr>
          <t>Total vertical stress at the tunnel crown</t>
        </r>
      </text>
    </comment>
    <comment ref="B11" authorId="1" shapeId="0">
      <text>
        <r>
          <rPr>
            <b/>
            <sz val="9"/>
            <color indexed="81"/>
            <rFont val="Tahoma"/>
            <family val="2"/>
          </rPr>
          <t>Water pressure at the tunnel crown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Difference between adopted face pressure and hydrostatic water pressure at tunnel centre</t>
        </r>
      </text>
    </comment>
    <comment ref="B13" authorId="1" shapeId="0">
      <text>
        <r>
          <rPr>
            <b/>
            <sz val="9"/>
            <color indexed="81"/>
            <rFont val="Tahoma"/>
            <family val="2"/>
          </rPr>
          <t>Wedge angle where the support pressure S is maximum.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Traditional analytical formulas without the PWP increment. Agree with incremental solution for B1=0</t>
        </r>
      </text>
    </comment>
    <comment ref="A15" authorId="1" shapeId="0">
      <text>
        <r>
          <rPr>
            <b/>
            <sz val="9"/>
            <color indexed="81"/>
            <rFont val="Tahoma"/>
            <family val="2"/>
          </rPr>
          <t>Vertical forces due to the overlying prism</t>
        </r>
      </text>
    </comment>
    <comment ref="E15" authorId="1" shapeId="0">
      <text>
        <r>
          <rPr>
            <b/>
            <sz val="9"/>
            <color indexed="81"/>
            <rFont val="Tahoma"/>
            <family val="2"/>
          </rPr>
          <t xml:space="preserve">These are mirror values of the calculation domain to trace the polar graphs.
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</rPr>
          <t>Self-weight of the wedge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</rPr>
          <t>Shear resistance along the vertical triangular walls of the wedge</t>
        </r>
      </text>
    </comment>
    <comment ref="A18" authorId="1" shapeId="0">
      <text>
        <r>
          <rPr>
            <b/>
            <sz val="9"/>
            <color indexed="81"/>
            <rFont val="Tahoma"/>
            <family val="2"/>
          </rPr>
          <t>Support force</t>
        </r>
      </text>
    </comment>
    <comment ref="A19" authorId="1" shapeId="0">
      <text>
        <r>
          <rPr>
            <b/>
            <sz val="9"/>
            <color indexed="81"/>
            <rFont val="Tahoma"/>
            <family val="2"/>
          </rPr>
          <t>Water force</t>
        </r>
      </text>
    </comment>
    <comment ref="A20" authorId="1" shapeId="0">
      <text>
        <r>
          <rPr>
            <b/>
            <sz val="9"/>
            <color indexed="81"/>
            <rFont val="Tahoma"/>
            <family val="2"/>
          </rPr>
          <t>Forces scaled to the real tunnel area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</rPr>
          <t>Foam injection ratio without considering flow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</rPr>
          <t>Foam injection ratio considering flow</t>
        </r>
      </text>
    </comment>
  </commentList>
</comments>
</file>

<file path=xl/sharedStrings.xml><?xml version="1.0" encoding="utf-8"?>
<sst xmlns="http://schemas.openxmlformats.org/spreadsheetml/2006/main" count="163" uniqueCount="51">
  <si>
    <t>D (m)</t>
  </si>
  <si>
    <t>γ ground (kN/m³)</t>
  </si>
  <si>
    <t>γ water (kN/m³)</t>
  </si>
  <si>
    <t>γ mixture (kN/m³)</t>
  </si>
  <si>
    <t>k0 ground</t>
  </si>
  <si>
    <r>
      <rPr>
        <sz val="11"/>
        <color theme="1"/>
        <rFont val="Palatino Linotype"/>
        <family val="1"/>
      </rPr>
      <t>θ</t>
    </r>
    <r>
      <rPr>
        <sz val="11"/>
        <color theme="1"/>
        <rFont val="Calibri"/>
        <family val="2"/>
      </rPr>
      <t xml:space="preserve"> - wedge</t>
    </r>
  </si>
  <si>
    <t>φ ground</t>
  </si>
  <si>
    <t>G (kN)</t>
  </si>
  <si>
    <t>T (kN)</t>
  </si>
  <si>
    <t>F (kN)</t>
  </si>
  <si>
    <t>Zt (m)</t>
  </si>
  <si>
    <t>Zw (m)</t>
  </si>
  <si>
    <t>V (kN)</t>
  </si>
  <si>
    <t>S (kN)</t>
  </si>
  <si>
    <t>-</t>
  </si>
  <si>
    <r>
      <rPr>
        <sz val="11"/>
        <color theme="1"/>
        <rFont val="Palatino Linotype"/>
        <family val="1"/>
      </rPr>
      <t>σ'</t>
    </r>
    <r>
      <rPr>
        <sz val="11"/>
        <color theme="1"/>
        <rFont val="Calibri"/>
        <family val="2"/>
        <scheme val="minor"/>
      </rPr>
      <t>v (kPa)</t>
    </r>
  </si>
  <si>
    <t>θ</t>
  </si>
  <si>
    <t>P0</t>
  </si>
  <si>
    <t>Z/D</t>
  </si>
  <si>
    <t>PWP crown (kPa)</t>
  </si>
  <si>
    <r>
      <rPr>
        <sz val="11"/>
        <color theme="1"/>
        <rFont val="Palatino Linotype"/>
        <family val="1"/>
      </rPr>
      <t>σ</t>
    </r>
    <r>
      <rPr>
        <sz val="11"/>
        <color theme="1"/>
        <rFont val="Calibri"/>
        <family val="2"/>
      </rPr>
      <t>v crown (kPa)</t>
    </r>
  </si>
  <si>
    <t>σv</t>
  </si>
  <si>
    <t>Z (m)</t>
  </si>
  <si>
    <t>uw</t>
  </si>
  <si>
    <t>σh</t>
  </si>
  <si>
    <r>
      <rPr>
        <sz val="11"/>
        <color theme="1"/>
        <rFont val="Times New Roman"/>
        <family val="1"/>
      </rPr>
      <t>∆</t>
    </r>
    <r>
      <rPr>
        <sz val="11"/>
        <color theme="1"/>
        <rFont val="Calibri"/>
        <family val="2"/>
        <scheme val="minor"/>
      </rPr>
      <t>uw AVG</t>
    </r>
  </si>
  <si>
    <t>X wedge</t>
  </si>
  <si>
    <t>∆PWP (kPa)</t>
  </si>
  <si>
    <r>
      <rPr>
        <sz val="11"/>
        <color theme="1"/>
        <rFont val="Times New Roman"/>
        <family val="1"/>
      </rPr>
      <t>∆</t>
    </r>
    <r>
      <rPr>
        <sz val="11"/>
        <color theme="1"/>
        <rFont val="Calibri"/>
        <family val="2"/>
        <scheme val="minor"/>
      </rPr>
      <t>uw wedge</t>
    </r>
  </si>
  <si>
    <t>dG (kN)</t>
  </si>
  <si>
    <t>dT (kN)</t>
  </si>
  <si>
    <t>uw (kN)</t>
  </si>
  <si>
    <t>W (kN)</t>
  </si>
  <si>
    <t>Blow-out ?</t>
  </si>
  <si>
    <t>FP</t>
  </si>
  <si>
    <t>FIR no flow</t>
  </si>
  <si>
    <t>Analytical</t>
  </si>
  <si>
    <t>Minimum Face Pressure (kPa)</t>
  </si>
  <si>
    <t>Operational Face Pressure (kPa)</t>
  </si>
  <si>
    <t>Maximum Face Pressure (kPa)</t>
  </si>
  <si>
    <r>
      <t>Consider Δ</t>
    </r>
    <r>
      <rPr>
        <b/>
        <sz val="9.35"/>
        <color rgb="FFFFFF00"/>
        <rFont val="Calibri"/>
        <family val="2"/>
        <scheme val="minor"/>
      </rPr>
      <t>PWP</t>
    </r>
  </si>
  <si>
    <t xml:space="preserve">RESULTANT LAYER: </t>
  </si>
  <si>
    <t>RESULTANT FORCES</t>
  </si>
  <si>
    <t>Hydraulic Gradient - i</t>
  </si>
  <si>
    <t>Penetration Velocity (m/s)</t>
  </si>
  <si>
    <t>Ground Initial Porosity (ni)</t>
  </si>
  <si>
    <t>Desired Porosity of Mixture (nf)</t>
  </si>
  <si>
    <t>Ground Permeability - k (m/s)</t>
  </si>
  <si>
    <t>TBM Penetration Velocity (mm/s)</t>
  </si>
  <si>
    <t>FIR with flow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</si>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</sst>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E+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Palatino Linotype"/>
      <family val="1"/>
    </font>
    <font>
      <sz val="11"/>
      <color theme="1"/>
      <name val="Times New Roman"/>
      <family val="1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9.35"/>
      <color rgb="FFFFFF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81">
    <xf numFmtId="0" fontId="0" fillId="0" borderId="0" xfId="0"/>
    <xf numFmtId="1" fontId="0" fillId="2" borderId="0" xfId="0" applyNumberForma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" fontId="4" fillId="2" borderId="3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1" fontId="4" fillId="2" borderId="5" xfId="0" applyNumberFormat="1" applyFont="1" applyFill="1" applyBorder="1" applyAlignment="1">
      <alignment horizontal="center" vertical="center"/>
    </xf>
    <xf numFmtId="164" fontId="4" fillId="2" borderId="10" xfId="0" applyNumberFormat="1" applyFont="1" applyFill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164" fontId="0" fillId="3" borderId="0" xfId="0" applyNumberForma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0" fontId="8" fillId="2" borderId="0" xfId="0" applyNumberFormat="1" applyFont="1" applyFill="1" applyBorder="1" applyAlignment="1">
      <alignment horizontal="center" vertical="center"/>
    </xf>
    <xf numFmtId="0" fontId="8" fillId="2" borderId="11" xfId="0" applyNumberFormat="1" applyFont="1" applyFill="1" applyBorder="1" applyAlignment="1">
      <alignment horizontal="center" vertical="center"/>
    </xf>
    <xf numFmtId="0" fontId="8" fillId="2" borderId="10" xfId="0" applyNumberFormat="1" applyFont="1" applyFill="1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2" fontId="0" fillId="2" borderId="2" xfId="0" applyNumberForma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2" borderId="4" xfId="0" applyNumberFormat="1" applyFill="1" applyBorder="1" applyAlignment="1">
      <alignment horizontal="center" vertical="center"/>
    </xf>
    <xf numFmtId="1" fontId="0" fillId="2" borderId="4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5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9" fontId="0" fillId="2" borderId="4" xfId="1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2" fontId="0" fillId="2" borderId="6" xfId="0" applyNumberForma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left" vertical="center"/>
    </xf>
    <xf numFmtId="0" fontId="8" fillId="2" borderId="1" xfId="0" applyNumberFormat="1" applyFont="1" applyFill="1" applyBorder="1" applyAlignment="1">
      <alignment horizontal="center" vertical="center"/>
    </xf>
    <xf numFmtId="1" fontId="8" fillId="2" borderId="2" xfId="0" applyNumberFormat="1" applyFon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left" vertical="center"/>
    </xf>
    <xf numFmtId="0" fontId="8" fillId="2" borderId="3" xfId="0" applyNumberFormat="1" applyFont="1" applyFill="1" applyBorder="1" applyAlignment="1">
      <alignment horizontal="center" vertical="center"/>
    </xf>
    <xf numFmtId="1" fontId="8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0" fontId="8" fillId="2" borderId="5" xfId="0" applyNumberFormat="1" applyFont="1" applyFill="1" applyBorder="1" applyAlignment="1">
      <alignment horizontal="center" vertical="center"/>
    </xf>
    <xf numFmtId="1" fontId="8" fillId="2" borderId="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5" borderId="3" xfId="0" applyNumberFormat="1" applyFill="1" applyBorder="1" applyAlignment="1">
      <alignment horizontal="left" vertical="center"/>
    </xf>
    <xf numFmtId="2" fontId="0" fillId="2" borderId="8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9" fontId="0" fillId="2" borderId="0" xfId="1" applyFon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2" fontId="0" fillId="2" borderId="5" xfId="0" applyNumberFormat="1" applyFont="1" applyFill="1" applyBorder="1" applyAlignment="1">
      <alignment horizontal="left" vertical="center"/>
    </xf>
    <xf numFmtId="1" fontId="0" fillId="2" borderId="6" xfId="0" applyNumberFormat="1" applyFill="1" applyBorder="1" applyAlignment="1">
      <alignment horizontal="center" vertical="center"/>
    </xf>
    <xf numFmtId="2" fontId="0" fillId="3" borderId="5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 wrapText="1"/>
    </xf>
    <xf numFmtId="1" fontId="0" fillId="2" borderId="2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left" vertical="center" wrapText="1"/>
    </xf>
    <xf numFmtId="2" fontId="0" fillId="2" borderId="3" xfId="0" applyNumberFormat="1" applyFill="1" applyBorder="1" applyAlignment="1">
      <alignment horizontal="left" vertical="center" wrapText="1"/>
    </xf>
    <xf numFmtId="0" fontId="0" fillId="2" borderId="6" xfId="0" applyFill="1" applyBorder="1" applyAlignment="1">
      <alignment horizontal="center" vertical="center"/>
    </xf>
    <xf numFmtId="1" fontId="9" fillId="6" borderId="2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left" vertical="center"/>
    </xf>
    <xf numFmtId="1" fontId="0" fillId="5" borderId="6" xfId="0" applyNumberFormat="1" applyFill="1" applyBorder="1" applyAlignment="1">
      <alignment horizontal="center" vertical="center"/>
    </xf>
    <xf numFmtId="165" fontId="0" fillId="5" borderId="2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5" borderId="6" xfId="0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9" fontId="0" fillId="2" borderId="6" xfId="1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498611111111107E-2"/>
          <c:y val="3.444888888888889E-2"/>
          <c:w val="0.93110222222222228"/>
          <c:h val="0.93110222222222228"/>
        </c:manualLayout>
      </c:layout>
      <c:radarChart>
        <c:radarStyle val="marker"/>
        <c:varyColors val="0"/>
        <c:ser>
          <c:idx val="1"/>
          <c:order val="1"/>
          <c:tx>
            <c:v>SY0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'Face Support'!$H$2:$H$25</c:f>
              <c:numCache>
                <c:formatCode>0.0</c:formatCode>
                <c:ptCount val="24"/>
                <c:pt idx="0">
                  <c:v>360</c:v>
                </c:pt>
                <c:pt idx="1">
                  <c:v>363.06667563398383</c:v>
                </c:pt>
                <c:pt idx="2">
                  <c:v>372.05771365940052</c:v>
                </c:pt>
                <c:pt idx="3">
                  <c:v>386.36038969321072</c:v>
                </c:pt>
                <c:pt idx="4">
                  <c:v>405</c:v>
                </c:pt>
                <c:pt idx="5">
                  <c:v>426.70628594077311</c:v>
                </c:pt>
                <c:pt idx="6">
                  <c:v>450</c:v>
                </c:pt>
                <c:pt idx="7">
                  <c:v>473.29371405922689</c:v>
                </c:pt>
                <c:pt idx="8">
                  <c:v>495</c:v>
                </c:pt>
                <c:pt idx="9">
                  <c:v>513.63961030678934</c:v>
                </c:pt>
                <c:pt idx="10">
                  <c:v>527.94228634059948</c:v>
                </c:pt>
                <c:pt idx="11">
                  <c:v>536.93332436601611</c:v>
                </c:pt>
                <c:pt idx="12">
                  <c:v>540</c:v>
                </c:pt>
                <c:pt idx="13" formatCode="General">
                  <c:v>536.93332436601611</c:v>
                </c:pt>
                <c:pt idx="14" formatCode="General">
                  <c:v>527.94228634059948</c:v>
                </c:pt>
                <c:pt idx="15" formatCode="General">
                  <c:v>513.63961030678934</c:v>
                </c:pt>
                <c:pt idx="16" formatCode="General">
                  <c:v>495</c:v>
                </c:pt>
                <c:pt idx="17" formatCode="General">
                  <c:v>473.29371405922689</c:v>
                </c:pt>
                <c:pt idx="18" formatCode="General">
                  <c:v>450</c:v>
                </c:pt>
                <c:pt idx="19" formatCode="General">
                  <c:v>426.70628594077311</c:v>
                </c:pt>
                <c:pt idx="20" formatCode="General">
                  <c:v>405</c:v>
                </c:pt>
                <c:pt idx="21" formatCode="General">
                  <c:v>386.36038969321072</c:v>
                </c:pt>
                <c:pt idx="22" formatCode="General">
                  <c:v>372.05771365940052</c:v>
                </c:pt>
                <c:pt idx="23" formatCode="General">
                  <c:v>363.06667563398383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D-4832-B33D-362C41194D57}"/>
            </c:ext>
          </c:extLst>
        </c:ser>
        <c:ser>
          <c:idx val="2"/>
          <c:order val="2"/>
          <c:tx>
            <c:v>SX0</c:v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val>
            <c:numRef>
              <c:f>'Face Support'!$J$2:$J$25</c:f>
              <c:numCache>
                <c:formatCode>0.0</c:formatCode>
                <c:ptCount val="24"/>
                <c:pt idx="0">
                  <c:v>280</c:v>
                </c:pt>
                <c:pt idx="1">
                  <c:v>282.38519215976521</c:v>
                </c:pt>
                <c:pt idx="2">
                  <c:v>289.37822173508931</c:v>
                </c:pt>
                <c:pt idx="3">
                  <c:v>300.50252531694167</c:v>
                </c:pt>
                <c:pt idx="4">
                  <c:v>315</c:v>
                </c:pt>
                <c:pt idx="5">
                  <c:v>331.88266684282354</c:v>
                </c:pt>
                <c:pt idx="6">
                  <c:v>350</c:v>
                </c:pt>
                <c:pt idx="7">
                  <c:v>368.11733315717646</c:v>
                </c:pt>
                <c:pt idx="8">
                  <c:v>385</c:v>
                </c:pt>
                <c:pt idx="9">
                  <c:v>399.49747468305839</c:v>
                </c:pt>
                <c:pt idx="10">
                  <c:v>410.62177826491074</c:v>
                </c:pt>
                <c:pt idx="11">
                  <c:v>417.61480784023479</c:v>
                </c:pt>
                <c:pt idx="12">
                  <c:v>420</c:v>
                </c:pt>
                <c:pt idx="13" formatCode="General">
                  <c:v>417.61480784023479</c:v>
                </c:pt>
                <c:pt idx="14" formatCode="General">
                  <c:v>410.62177826491074</c:v>
                </c:pt>
                <c:pt idx="15" formatCode="General">
                  <c:v>399.49747468305839</c:v>
                </c:pt>
                <c:pt idx="16" formatCode="General">
                  <c:v>385</c:v>
                </c:pt>
                <c:pt idx="17" formatCode="General">
                  <c:v>368.11733315717646</c:v>
                </c:pt>
                <c:pt idx="18" formatCode="General">
                  <c:v>350</c:v>
                </c:pt>
                <c:pt idx="19" formatCode="General">
                  <c:v>331.88266684282354</c:v>
                </c:pt>
                <c:pt idx="20" formatCode="General">
                  <c:v>315</c:v>
                </c:pt>
                <c:pt idx="21" formatCode="General">
                  <c:v>300.50252531694167</c:v>
                </c:pt>
                <c:pt idx="22" formatCode="General">
                  <c:v>289.37822173508931</c:v>
                </c:pt>
                <c:pt idx="23" formatCode="General">
                  <c:v>282.38519215976521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D-4832-B33D-362C41194D57}"/>
            </c:ext>
          </c:extLst>
        </c:ser>
        <c:ser>
          <c:idx val="3"/>
          <c:order val="3"/>
          <c:tx>
            <c:v>P0</c:v>
          </c:tx>
          <c:spPr>
            <a:ln w="19050">
              <a:solidFill>
                <a:srgbClr val="00B0F0"/>
              </a:solidFill>
            </a:ln>
          </c:spPr>
          <c:marker>
            <c:symbol val="none"/>
          </c:marker>
          <c:val>
            <c:numRef>
              <c:f>'Face Support'!$K$2:$K$25</c:f>
              <c:numCache>
                <c:formatCode>0.0</c:formatCode>
                <c:ptCount val="24"/>
                <c:pt idx="0">
                  <c:v>360</c:v>
                </c:pt>
                <c:pt idx="1">
                  <c:v>357.66204104871844</c:v>
                </c:pt>
                <c:pt idx="2">
                  <c:v>351.38784067832273</c:v>
                </c:pt>
                <c:pt idx="3">
                  <c:v>343.4314575050762</c:v>
                </c:pt>
                <c:pt idx="4">
                  <c:v>337.5</c:v>
                </c:pt>
                <c:pt idx="5">
                  <c:v>338.23464488299658</c:v>
                </c:pt>
                <c:pt idx="6">
                  <c:v>350</c:v>
                </c:pt>
                <c:pt idx="7">
                  <c:v>375.16281473855958</c:v>
                </c:pt>
                <c:pt idx="8">
                  <c:v>412.5</c:v>
                </c:pt>
                <c:pt idx="9">
                  <c:v>456.5685424949238</c:v>
                </c:pt>
                <c:pt idx="10">
                  <c:v>498.61215932167727</c:v>
                </c:pt>
                <c:pt idx="11">
                  <c:v>528.94049932972541</c:v>
                </c:pt>
                <c:pt idx="12">
                  <c:v>540</c:v>
                </c:pt>
                <c:pt idx="13" formatCode="General">
                  <c:v>528.94049932972541</c:v>
                </c:pt>
                <c:pt idx="14" formatCode="General">
                  <c:v>498.61215932167727</c:v>
                </c:pt>
                <c:pt idx="15" formatCode="General">
                  <c:v>456.5685424949238</c:v>
                </c:pt>
                <c:pt idx="16" formatCode="General">
                  <c:v>412.5</c:v>
                </c:pt>
                <c:pt idx="17" formatCode="General">
                  <c:v>375.16281473855958</c:v>
                </c:pt>
                <c:pt idx="18" formatCode="General">
                  <c:v>350</c:v>
                </c:pt>
                <c:pt idx="19" formatCode="General">
                  <c:v>338.23464488299658</c:v>
                </c:pt>
                <c:pt idx="20" formatCode="General">
                  <c:v>337.5</c:v>
                </c:pt>
                <c:pt idx="21" formatCode="General">
                  <c:v>343.4314575050762</c:v>
                </c:pt>
                <c:pt idx="22" formatCode="General">
                  <c:v>351.38784067832273</c:v>
                </c:pt>
                <c:pt idx="23" formatCode="General">
                  <c:v>357.66204104871844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D-4832-B33D-362C41194D57}"/>
            </c:ext>
          </c:extLst>
        </c:ser>
        <c:ser>
          <c:idx val="0"/>
          <c:order val="0"/>
          <c:tx>
            <c:v>FP</c:v>
          </c:tx>
          <c:spPr>
            <a:ln w="22225">
              <a:solidFill>
                <a:schemeClr val="tx1"/>
              </a:solidFill>
              <a:prstDash val="sysDash"/>
            </a:ln>
          </c:spPr>
          <c:marker>
            <c:symbol val="none"/>
          </c:marker>
          <c:val>
            <c:numRef>
              <c:f>'Face Support'!$S$2:$S$25</c:f>
              <c:numCache>
                <c:formatCode>0</c:formatCode>
                <c:ptCount val="24"/>
                <c:pt idx="0">
                  <c:v>239.18829491007534</c:v>
                </c:pt>
                <c:pt idx="1">
                  <c:v>241.23274533273124</c:v>
                </c:pt>
                <c:pt idx="2">
                  <c:v>247.22677068300902</c:v>
                </c:pt>
                <c:pt idx="3">
                  <c:v>256.76188803888249</c:v>
                </c:pt>
                <c:pt idx="4">
                  <c:v>269.18829491007534</c:v>
                </c:pt>
                <c:pt idx="5">
                  <c:v>283.65915220392412</c:v>
                </c:pt>
                <c:pt idx="6">
                  <c:v>299.18829491007534</c:v>
                </c:pt>
                <c:pt idx="7">
                  <c:v>314.71743761622656</c:v>
                </c:pt>
                <c:pt idx="8">
                  <c:v>329.18829491007534</c:v>
                </c:pt>
                <c:pt idx="9">
                  <c:v>341.6147017812682</c:v>
                </c:pt>
                <c:pt idx="10">
                  <c:v>351.14981913714166</c:v>
                </c:pt>
                <c:pt idx="11">
                  <c:v>357.14384448741941</c:v>
                </c:pt>
                <c:pt idx="12">
                  <c:v>359.18829491007534</c:v>
                </c:pt>
                <c:pt idx="13">
                  <c:v>357.14384448741941</c:v>
                </c:pt>
                <c:pt idx="14">
                  <c:v>351.14981913714166</c:v>
                </c:pt>
                <c:pt idx="15">
                  <c:v>341.6147017812682</c:v>
                </c:pt>
                <c:pt idx="16">
                  <c:v>329.18829491007534</c:v>
                </c:pt>
                <c:pt idx="17">
                  <c:v>314.71743761622656</c:v>
                </c:pt>
                <c:pt idx="18">
                  <c:v>299.18829491007534</c:v>
                </c:pt>
                <c:pt idx="19">
                  <c:v>283.65915220392412</c:v>
                </c:pt>
                <c:pt idx="20">
                  <c:v>269.18829491007534</c:v>
                </c:pt>
                <c:pt idx="21">
                  <c:v>256.76188803888249</c:v>
                </c:pt>
                <c:pt idx="22">
                  <c:v>247.22677068300902</c:v>
                </c:pt>
                <c:pt idx="23">
                  <c:v>241.23274533273124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ED-4832-B33D-362C41194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78944"/>
        <c:axId val="99780480"/>
      </c:radarChart>
      <c:catAx>
        <c:axId val="99778944"/>
        <c:scaling>
          <c:orientation val="minMax"/>
        </c:scaling>
        <c:delete val="1"/>
        <c:axPos val="b"/>
        <c:majorGridlines/>
        <c:majorTickMark val="out"/>
        <c:minorTickMark val="none"/>
        <c:tickLblPos val="nextTo"/>
        <c:crossAx val="99780480"/>
        <c:crosses val="autoZero"/>
        <c:auto val="1"/>
        <c:lblAlgn val="ctr"/>
        <c:lblOffset val="100"/>
        <c:noMultiLvlLbl val="0"/>
      </c:catAx>
      <c:valAx>
        <c:axId val="99780480"/>
        <c:scaling>
          <c:orientation val="minMax"/>
          <c:max val="540"/>
          <c:min val="20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" sourceLinked="0"/>
        <c:majorTickMark val="cross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crossAx val="99778944"/>
        <c:crosses val="autoZero"/>
        <c:crossBetween val="between"/>
        <c:majorUnit val="100"/>
      </c:valAx>
    </c:plotArea>
    <c:legend>
      <c:legendPos val="r"/>
      <c:layout>
        <c:manualLayout>
          <c:xMode val="edge"/>
          <c:yMode val="edge"/>
          <c:x val="0.78531694444444444"/>
          <c:y val="9.0538888888889082E-3"/>
          <c:w val="0.21468305555555556"/>
          <c:h val="0.28341666666666665"/>
        </c:manualLayout>
      </c:layout>
      <c:overlay val="1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521435185185187"/>
          <c:y val="3.263935185185185E-2"/>
          <c:w val="0.67851774737031212"/>
          <c:h val="0.85553111111111113"/>
        </c:manualLayout>
      </c:layout>
      <c:scatterChart>
        <c:scatterStyle val="smoothMarker"/>
        <c:varyColors val="0"/>
        <c:ser>
          <c:idx val="1"/>
          <c:order val="1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'Face Support'!$H$2:$H$14</c:f>
              <c:numCache>
                <c:formatCode>0.0</c:formatCode>
                <c:ptCount val="13"/>
                <c:pt idx="0">
                  <c:v>360</c:v>
                </c:pt>
                <c:pt idx="1">
                  <c:v>363.06667563398383</c:v>
                </c:pt>
                <c:pt idx="2">
                  <c:v>372.05771365940052</c:v>
                </c:pt>
                <c:pt idx="3">
                  <c:v>386.36038969321072</c:v>
                </c:pt>
                <c:pt idx="4">
                  <c:v>405</c:v>
                </c:pt>
                <c:pt idx="5">
                  <c:v>426.70628594077311</c:v>
                </c:pt>
                <c:pt idx="6">
                  <c:v>450</c:v>
                </c:pt>
                <c:pt idx="7">
                  <c:v>473.29371405922689</c:v>
                </c:pt>
                <c:pt idx="8">
                  <c:v>495</c:v>
                </c:pt>
                <c:pt idx="9">
                  <c:v>513.63961030678934</c:v>
                </c:pt>
                <c:pt idx="10">
                  <c:v>527.94228634059948</c:v>
                </c:pt>
                <c:pt idx="11">
                  <c:v>536.93332436601611</c:v>
                </c:pt>
                <c:pt idx="12">
                  <c:v>540</c:v>
                </c:pt>
              </c:numCache>
            </c:numRef>
          </c:xVal>
          <c:yVal>
            <c:numRef>
              <c:f>'Face Support'!$F$2:$F$14</c:f>
              <c:numCache>
                <c:formatCode>0.0</c:formatCode>
                <c:ptCount val="13"/>
                <c:pt idx="0">
                  <c:v>0</c:v>
                </c:pt>
                <c:pt idx="1">
                  <c:v>1.7037086855465844E-2</c:v>
                </c:pt>
                <c:pt idx="2">
                  <c:v>6.6987298107780702E-2</c:v>
                </c:pt>
                <c:pt idx="3">
                  <c:v>0.14644660940672627</c:v>
                </c:pt>
                <c:pt idx="4">
                  <c:v>0.25</c:v>
                </c:pt>
                <c:pt idx="5">
                  <c:v>0.37059047744873963</c:v>
                </c:pt>
                <c:pt idx="6">
                  <c:v>0.5</c:v>
                </c:pt>
                <c:pt idx="7">
                  <c:v>0.62940952255126037</c:v>
                </c:pt>
                <c:pt idx="8">
                  <c:v>0.75</c:v>
                </c:pt>
                <c:pt idx="9">
                  <c:v>0.85355339059327373</c:v>
                </c:pt>
                <c:pt idx="10">
                  <c:v>0.9330127018922193</c:v>
                </c:pt>
                <c:pt idx="11">
                  <c:v>0.9829629131445341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1E-4FE8-AA75-BEAA138860F6}"/>
            </c:ext>
          </c:extLst>
        </c:ser>
        <c:ser>
          <c:idx val="2"/>
          <c:order val="2"/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'Face Support'!$J$2:$J$14</c:f>
              <c:numCache>
                <c:formatCode>0.0</c:formatCode>
                <c:ptCount val="13"/>
                <c:pt idx="0">
                  <c:v>280</c:v>
                </c:pt>
                <c:pt idx="1">
                  <c:v>282.38519215976521</c:v>
                </c:pt>
                <c:pt idx="2">
                  <c:v>289.37822173508931</c:v>
                </c:pt>
                <c:pt idx="3">
                  <c:v>300.50252531694167</c:v>
                </c:pt>
                <c:pt idx="4">
                  <c:v>315</c:v>
                </c:pt>
                <c:pt idx="5">
                  <c:v>331.88266684282354</c:v>
                </c:pt>
                <c:pt idx="6">
                  <c:v>350</c:v>
                </c:pt>
                <c:pt idx="7">
                  <c:v>368.11733315717646</c:v>
                </c:pt>
                <c:pt idx="8">
                  <c:v>385</c:v>
                </c:pt>
                <c:pt idx="9">
                  <c:v>399.49747468305839</c:v>
                </c:pt>
                <c:pt idx="10">
                  <c:v>410.62177826491074</c:v>
                </c:pt>
                <c:pt idx="11">
                  <c:v>417.61480784023479</c:v>
                </c:pt>
                <c:pt idx="12">
                  <c:v>420</c:v>
                </c:pt>
              </c:numCache>
            </c:numRef>
          </c:xVal>
          <c:yVal>
            <c:numRef>
              <c:f>'Face Support'!$F$2:$F$14</c:f>
              <c:numCache>
                <c:formatCode>0.0</c:formatCode>
                <c:ptCount val="13"/>
                <c:pt idx="0">
                  <c:v>0</c:v>
                </c:pt>
                <c:pt idx="1">
                  <c:v>1.7037086855465844E-2</c:v>
                </c:pt>
                <c:pt idx="2">
                  <c:v>6.6987298107780702E-2</c:v>
                </c:pt>
                <c:pt idx="3">
                  <c:v>0.14644660940672627</c:v>
                </c:pt>
                <c:pt idx="4">
                  <c:v>0.25</c:v>
                </c:pt>
                <c:pt idx="5">
                  <c:v>0.37059047744873963</c:v>
                </c:pt>
                <c:pt idx="6">
                  <c:v>0.5</c:v>
                </c:pt>
                <c:pt idx="7">
                  <c:v>0.62940952255126037</c:v>
                </c:pt>
                <c:pt idx="8">
                  <c:v>0.75</c:v>
                </c:pt>
                <c:pt idx="9">
                  <c:v>0.85355339059327373</c:v>
                </c:pt>
                <c:pt idx="10">
                  <c:v>0.9330127018922193</c:v>
                </c:pt>
                <c:pt idx="11">
                  <c:v>0.9829629131445341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1E-4FE8-AA75-BEAA138860F6}"/>
            </c:ext>
          </c:extLst>
        </c:ser>
        <c:ser>
          <c:idx val="3"/>
          <c:order val="3"/>
          <c:spPr>
            <a:ln w="1905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'Face Support'!$K$2:$K$14</c:f>
              <c:numCache>
                <c:formatCode>0.0</c:formatCode>
                <c:ptCount val="13"/>
                <c:pt idx="0">
                  <c:v>360</c:v>
                </c:pt>
                <c:pt idx="1">
                  <c:v>357.66204104871844</c:v>
                </c:pt>
                <c:pt idx="2">
                  <c:v>351.38784067832273</c:v>
                </c:pt>
                <c:pt idx="3">
                  <c:v>343.4314575050762</c:v>
                </c:pt>
                <c:pt idx="4">
                  <c:v>337.5</c:v>
                </c:pt>
                <c:pt idx="5">
                  <c:v>338.23464488299658</c:v>
                </c:pt>
                <c:pt idx="6">
                  <c:v>350</c:v>
                </c:pt>
                <c:pt idx="7">
                  <c:v>375.16281473855958</c:v>
                </c:pt>
                <c:pt idx="8">
                  <c:v>412.5</c:v>
                </c:pt>
                <c:pt idx="9">
                  <c:v>456.5685424949238</c:v>
                </c:pt>
                <c:pt idx="10">
                  <c:v>498.61215932167727</c:v>
                </c:pt>
                <c:pt idx="11">
                  <c:v>528.94049932972541</c:v>
                </c:pt>
                <c:pt idx="12">
                  <c:v>540</c:v>
                </c:pt>
              </c:numCache>
            </c:numRef>
          </c:xVal>
          <c:yVal>
            <c:numRef>
              <c:f>'Face Support'!$F$2:$F$14</c:f>
              <c:numCache>
                <c:formatCode>0.0</c:formatCode>
                <c:ptCount val="13"/>
                <c:pt idx="0">
                  <c:v>0</c:v>
                </c:pt>
                <c:pt idx="1">
                  <c:v>1.7037086855465844E-2</c:v>
                </c:pt>
                <c:pt idx="2">
                  <c:v>6.6987298107780702E-2</c:v>
                </c:pt>
                <c:pt idx="3">
                  <c:v>0.14644660940672627</c:v>
                </c:pt>
                <c:pt idx="4">
                  <c:v>0.25</c:v>
                </c:pt>
                <c:pt idx="5">
                  <c:v>0.37059047744873963</c:v>
                </c:pt>
                <c:pt idx="6">
                  <c:v>0.5</c:v>
                </c:pt>
                <c:pt idx="7">
                  <c:v>0.62940952255126037</c:v>
                </c:pt>
                <c:pt idx="8">
                  <c:v>0.75</c:v>
                </c:pt>
                <c:pt idx="9">
                  <c:v>0.85355339059327373</c:v>
                </c:pt>
                <c:pt idx="10">
                  <c:v>0.9330127018922193</c:v>
                </c:pt>
                <c:pt idx="11">
                  <c:v>0.9829629131445341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1E-4FE8-AA75-BEAA138860F6}"/>
            </c:ext>
          </c:extLst>
        </c:ser>
        <c:ser>
          <c:idx val="0"/>
          <c:order val="0"/>
          <c:spPr>
            <a:ln w="2222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'Face Support'!$S$2:$S$14</c:f>
              <c:numCache>
                <c:formatCode>0</c:formatCode>
                <c:ptCount val="13"/>
                <c:pt idx="0">
                  <c:v>239.18829491007534</c:v>
                </c:pt>
                <c:pt idx="1">
                  <c:v>241.23274533273124</c:v>
                </c:pt>
                <c:pt idx="2">
                  <c:v>247.22677068300902</c:v>
                </c:pt>
                <c:pt idx="3">
                  <c:v>256.76188803888249</c:v>
                </c:pt>
                <c:pt idx="4">
                  <c:v>269.18829491007534</c:v>
                </c:pt>
                <c:pt idx="5">
                  <c:v>283.65915220392412</c:v>
                </c:pt>
                <c:pt idx="6">
                  <c:v>299.18829491007534</c:v>
                </c:pt>
                <c:pt idx="7">
                  <c:v>314.71743761622656</c:v>
                </c:pt>
                <c:pt idx="8">
                  <c:v>329.18829491007534</c:v>
                </c:pt>
                <c:pt idx="9">
                  <c:v>341.6147017812682</c:v>
                </c:pt>
                <c:pt idx="10">
                  <c:v>351.14981913714166</c:v>
                </c:pt>
                <c:pt idx="11">
                  <c:v>357.14384448741941</c:v>
                </c:pt>
                <c:pt idx="12">
                  <c:v>359.18829491007534</c:v>
                </c:pt>
              </c:numCache>
            </c:numRef>
          </c:xVal>
          <c:yVal>
            <c:numRef>
              <c:f>'Face Support'!$F$2:$F$14</c:f>
              <c:numCache>
                <c:formatCode>0.0</c:formatCode>
                <c:ptCount val="13"/>
                <c:pt idx="0">
                  <c:v>0</c:v>
                </c:pt>
                <c:pt idx="1">
                  <c:v>1.7037086855465844E-2</c:v>
                </c:pt>
                <c:pt idx="2">
                  <c:v>6.6987298107780702E-2</c:v>
                </c:pt>
                <c:pt idx="3">
                  <c:v>0.14644660940672627</c:v>
                </c:pt>
                <c:pt idx="4">
                  <c:v>0.25</c:v>
                </c:pt>
                <c:pt idx="5">
                  <c:v>0.37059047744873963</c:v>
                </c:pt>
                <c:pt idx="6">
                  <c:v>0.5</c:v>
                </c:pt>
                <c:pt idx="7">
                  <c:v>0.62940952255126037</c:v>
                </c:pt>
                <c:pt idx="8">
                  <c:v>0.75</c:v>
                </c:pt>
                <c:pt idx="9">
                  <c:v>0.85355339059327373</c:v>
                </c:pt>
                <c:pt idx="10">
                  <c:v>0.9330127018922193</c:v>
                </c:pt>
                <c:pt idx="11">
                  <c:v>0.9829629131445341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E-4FE8-AA75-BEAA13886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78304"/>
        <c:axId val="110179840"/>
      </c:scatterChart>
      <c:valAx>
        <c:axId val="110178304"/>
        <c:scaling>
          <c:orientation val="minMax"/>
          <c:max val="540"/>
          <c:min val="200"/>
        </c:scaling>
        <c:delete val="0"/>
        <c:axPos val="b"/>
        <c:numFmt formatCode="General" sourceLinked="0"/>
        <c:majorTickMark val="cross"/>
        <c:minorTickMark val="in"/>
        <c:tickLblPos val="nextTo"/>
        <c:crossAx val="110179840"/>
        <c:crosses val="max"/>
        <c:crossBetween val="midCat"/>
        <c:majorUnit val="150"/>
        <c:minorUnit val="75"/>
      </c:valAx>
      <c:valAx>
        <c:axId val="110179840"/>
        <c:scaling>
          <c:orientation val="maxMin"/>
          <c:max val="1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178304"/>
        <c:crosses val="autoZero"/>
        <c:crossBetween val="midCat"/>
        <c:majorUnit val="0.2"/>
      </c:valAx>
      <c:spPr>
        <a:ln w="6350">
          <a:solidFill>
            <a:schemeClr val="bg1">
              <a:lumMod val="7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302559</xdr:colOff>
      <xdr:row>25</xdr:row>
      <xdr:rowOff>114300</xdr:rowOff>
    </xdr:from>
    <xdr:to>
      <xdr:col>12</xdr:col>
      <xdr:colOff>274145</xdr:colOff>
      <xdr:row>30</xdr:row>
      <xdr:rowOff>27190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85030" y="4921624"/>
          <a:ext cx="3219611" cy="865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30</xdr:row>
          <xdr:rowOff>66675</xdr:rowOff>
        </xdr:from>
        <xdr:to>
          <xdr:col>16</xdr:col>
          <xdr:colOff>666750</xdr:colOff>
          <xdr:row>34</xdr:row>
          <xdr:rowOff>47625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63232</xdr:colOff>
      <xdr:row>21</xdr:row>
      <xdr:rowOff>86446</xdr:rowOff>
    </xdr:from>
    <xdr:to>
      <xdr:col>25</xdr:col>
      <xdr:colOff>499064</xdr:colOff>
      <xdr:row>36</xdr:row>
      <xdr:rowOff>36297</xdr:rowOff>
    </xdr:to>
    <xdr:pic>
      <xdr:nvPicPr>
        <xdr:cNvPr id="7" name="Picture 6" descr="C:\Users\Administrator\Dropbox\02. Tunnels\Paper.3 Lecture PCMSGE\IMG.emf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6703" y="4131770"/>
          <a:ext cx="3730362" cy="280735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19</xdr:col>
      <xdr:colOff>190500</xdr:colOff>
      <xdr:row>0</xdr:row>
      <xdr:rowOff>57150</xdr:rowOff>
    </xdr:from>
    <xdr:to>
      <xdr:col>25</xdr:col>
      <xdr:colOff>47736</xdr:colOff>
      <xdr:row>18</xdr:row>
      <xdr:rowOff>183326</xdr:rowOff>
    </xdr:to>
    <xdr:graphicFrame macro="">
      <xdr:nvGraphicFramePr>
        <xdr:cNvPr id="5" name="Chart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185698</xdr:colOff>
      <xdr:row>0</xdr:row>
      <xdr:rowOff>71237</xdr:rowOff>
    </xdr:from>
    <xdr:to>
      <xdr:col>28</xdr:col>
      <xdr:colOff>541230</xdr:colOff>
      <xdr:row>19</xdr:row>
      <xdr:rowOff>24523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39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30.5703125" style="56" customWidth="1"/>
    <col min="2" max="2" width="11.42578125" style="23" bestFit="1" customWidth="1"/>
    <col min="3" max="3" width="10.28515625" style="21" bestFit="1" customWidth="1"/>
    <col min="4" max="4" width="4.42578125" style="21" customWidth="1"/>
    <col min="5" max="5" width="3.7109375" style="45" bestFit="1" customWidth="1"/>
    <col min="6" max="6" width="4.140625" style="45" bestFit="1" customWidth="1"/>
    <col min="7" max="11" width="5.5703125" style="45" bestFit="1" customWidth="1"/>
    <col min="12" max="12" width="8.5703125" style="45" bestFit="1" customWidth="1"/>
    <col min="13" max="13" width="9.28515625" style="45" bestFit="1" customWidth="1"/>
    <col min="14" max="14" width="8.7109375" style="45" bestFit="1" customWidth="1"/>
    <col min="15" max="15" width="7.7109375" style="50" bestFit="1" customWidth="1"/>
    <col min="16" max="16" width="7.42578125" style="50" bestFit="1" customWidth="1"/>
    <col min="17" max="17" width="11.42578125" style="45" bestFit="1" customWidth="1"/>
    <col min="18" max="18" width="8" style="45" bestFit="1" customWidth="1"/>
    <col min="19" max="19" width="6.7109375" style="45" bestFit="1" customWidth="1"/>
    <col min="20" max="20" width="6.7109375" style="21" bestFit="1" customWidth="1"/>
    <col min="21" max="21" width="13.5703125" style="21" bestFit="1" customWidth="1"/>
    <col min="22" max="22" width="8" style="21" bestFit="1" customWidth="1"/>
    <col min="23" max="23" width="9.5703125" style="21" bestFit="1" customWidth="1"/>
    <col min="24" max="16384" width="9.140625" style="21"/>
  </cols>
  <sheetData>
    <row r="1" spans="1:25" ht="16.5" x14ac:dyDescent="0.25">
      <c r="A1" s="70" t="s">
        <v>40</v>
      </c>
      <c r="B1" s="69" t="s">
        <v>50</v>
      </c>
      <c r="E1" s="3" t="s">
        <v>16</v>
      </c>
      <c r="F1" s="2" t="s">
        <v>18</v>
      </c>
      <c r="G1" s="2" t="s">
        <v>22</v>
      </c>
      <c r="H1" s="52" t="s">
        <v>21</v>
      </c>
      <c r="I1" s="2" t="s">
        <v>23</v>
      </c>
      <c r="J1" s="52" t="s">
        <v>24</v>
      </c>
      <c r="K1" s="52" t="s">
        <v>17</v>
      </c>
      <c r="L1" s="52" t="s">
        <v>26</v>
      </c>
      <c r="M1" s="2" t="s">
        <v>25</v>
      </c>
      <c r="N1" s="10" t="s">
        <v>15</v>
      </c>
      <c r="O1" s="10" t="s">
        <v>29</v>
      </c>
      <c r="P1" s="10" t="s">
        <v>30</v>
      </c>
      <c r="Q1" s="13" t="s">
        <v>28</v>
      </c>
      <c r="R1" s="13" t="s">
        <v>31</v>
      </c>
      <c r="S1" s="22" t="s">
        <v>34</v>
      </c>
      <c r="T1" s="23"/>
      <c r="U1" s="24"/>
      <c r="V1" s="23"/>
      <c r="W1" s="23"/>
      <c r="X1" s="23"/>
      <c r="Y1" s="23"/>
    </row>
    <row r="2" spans="1:25" x14ac:dyDescent="0.25">
      <c r="A2" s="51" t="s">
        <v>0</v>
      </c>
      <c r="B2" s="58">
        <v>10</v>
      </c>
      <c r="E2" s="6">
        <v>90</v>
      </c>
      <c r="F2" s="7">
        <f t="shared" ref="F2:F14" si="0">G2/$B$2</f>
        <v>0</v>
      </c>
      <c r="G2" s="4">
        <f t="shared" ref="G2:G14" si="1">($B$2/2)*(1-SIN(RADIANS(E2)))</f>
        <v>0</v>
      </c>
      <c r="H2" s="4">
        <f>B10</f>
        <v>360</v>
      </c>
      <c r="I2" s="4">
        <f>B11</f>
        <v>200</v>
      </c>
      <c r="J2" s="4">
        <f t="shared" ref="J2:J14" si="2">((H2-I2)*$B$8)+I2</f>
        <v>280</v>
      </c>
      <c r="K2" s="4">
        <f t="shared" ref="K2:K14" si="3">((J2*COS(RADIANS(E2))*COS(RADIANS(E2))+H2*SIN(RADIANS(E2))*SIN(RADIANS(E2)))*COS(RADIANS(E2))*COS(RADIANS(E2))+(J2*SIN(RADIANS(E2))*SIN(RADIANS(E2))+H2*COS(RADIANS(E2))*COS(RADIANS(E2)))*SIN(RADIANS(E2))*SIN(RADIANS(E2)))*COS(RADIANS(E2))*COS(RADIANS(E2))+((J2*COS(RADIANS(E2))*COS(RADIANS(E2))+H2*SIN(RADIANS(E2))*SIN(RADIANS(E2)))*SIN(RADIANS(E2))*SIN(RADIANS(E2))+(J2*SIN(RADIANS(E2))*SIN(RADIANS(E2))+H2*COS(RADIANS(E2))*COS(RADIANS(E2)))*COS(RADIANS(E2))*COS(RADIANS(E2)))*SIN(RADIANS(E2))*SIN(RADIANS(E2))-(((J2*SIN(RADIANS(E2))*SIN(RADIANS(E2))+H2*COS(RADIANS(E2))*COS(RADIANS(E2)))-(J2*COS(RADIANS(E2))*COS(RADIANS(E2))+H2*SIN(RADIANS(E2))*SIN(RADIANS(E2))))*SIN(RADIANS(E2))*COS(RADIANS(E2)))*SIN(2*RADIANS(E2))</f>
        <v>360</v>
      </c>
      <c r="L2" s="4">
        <f>$B$2*TAN(RADIANS($B$13))</f>
        <v>4.0810525568946927</v>
      </c>
      <c r="M2" s="4">
        <f t="shared" ref="M2:M13" si="4">IF($B$1="NO",0,((((L2*(SQRT(($B$2/2)^2+L2^2)-L2)+((($B$2/2)^2)*LN(SQRT(($B$2/2)^2+L2^2)+L2)))/2)-(($B$2/2)*($B$2/2)*LN(($B$2/2))/2))*$B$12/($B$2/2))/L2)</f>
        <v>0</v>
      </c>
      <c r="N2" s="11">
        <f>IF(H2-I2-M2&lt;0,0,H2-I2-M2)</f>
        <v>160</v>
      </c>
      <c r="O2" s="11" t="s">
        <v>14</v>
      </c>
      <c r="P2" s="11" t="s">
        <v>14</v>
      </c>
      <c r="Q2" s="14">
        <f t="shared" ref="Q2:Q14" si="5">IF($B$1="NO",0,(SQRT(L2^2+($B$2/2)^2)-L2)*$B$12/($B$2/2))</f>
        <v>0</v>
      </c>
      <c r="R2" s="14" t="s">
        <v>14</v>
      </c>
      <c r="S2" s="26">
        <f t="shared" ref="S2:S14" si="6">$B$22-((($B$2/2)-G2)*$B$9)</f>
        <v>239.18829491007534</v>
      </c>
      <c r="T2" s="23"/>
      <c r="U2" s="23"/>
      <c r="V2" s="23"/>
      <c r="W2" s="23"/>
      <c r="X2" s="23"/>
      <c r="Y2" s="23"/>
    </row>
    <row r="3" spans="1:25" x14ac:dyDescent="0.25">
      <c r="A3" s="51" t="s">
        <v>10</v>
      </c>
      <c r="B3" s="58">
        <v>20</v>
      </c>
      <c r="E3" s="6">
        <f>E2-15</f>
        <v>75</v>
      </c>
      <c r="F3" s="7">
        <f t="shared" si="0"/>
        <v>1.7037086855465844E-2</v>
      </c>
      <c r="G3" s="4">
        <f t="shared" si="1"/>
        <v>0.17037086855465844</v>
      </c>
      <c r="H3" s="4">
        <f t="shared" ref="H3:H14" si="7">H2+($B$5*(G3-G2))</f>
        <v>363.06667563398383</v>
      </c>
      <c r="I3" s="4">
        <f t="shared" ref="I3:I14" si="8">I2+($B$6*(G3-G2))</f>
        <v>201.70370868554659</v>
      </c>
      <c r="J3" s="4">
        <f t="shared" si="2"/>
        <v>282.38519215976521</v>
      </c>
      <c r="K3" s="4">
        <f t="shared" si="3"/>
        <v>357.66204104871844</v>
      </c>
      <c r="L3" s="4">
        <f t="shared" ref="L3:L14" si="9">L2-(G3-G2)*TAN(RADIANS($B$13))</f>
        <v>4.0115233100211567</v>
      </c>
      <c r="M3" s="4">
        <f t="shared" si="4"/>
        <v>0</v>
      </c>
      <c r="N3" s="11">
        <f t="shared" ref="N3:N14" si="10">IF(H3-I3-M3&lt;0,0,H3-I3-M3)</f>
        <v>161.36296694843725</v>
      </c>
      <c r="O3" s="11">
        <f t="shared" ref="O3:O14" si="11">$B$2*AVERAGE(L2:L3)*(N3-N2)</f>
        <v>55.149567171636022</v>
      </c>
      <c r="P3" s="11">
        <f t="shared" ref="P3:P14" si="12">(G3-G2)*AVERAGE(L2:L3)*AVERAGE(N2:N3)*$B$8*TAN(RADIANS($B$7))</f>
        <v>31.976235293502228</v>
      </c>
      <c r="Q3" s="14">
        <f t="shared" si="5"/>
        <v>0</v>
      </c>
      <c r="R3" s="14">
        <f t="shared" ref="R3:R14" si="13">AVERAGE(I3+Q3,I2+Q2)*$B$2*(G3-G2)</f>
        <v>342.19304875192034</v>
      </c>
      <c r="S3" s="26">
        <f t="shared" si="6"/>
        <v>241.23274533273124</v>
      </c>
      <c r="T3" s="23"/>
      <c r="U3" s="23"/>
      <c r="V3" s="23"/>
      <c r="W3" s="24"/>
      <c r="X3" s="28"/>
      <c r="Y3" s="23"/>
    </row>
    <row r="4" spans="1:25" x14ac:dyDescent="0.25">
      <c r="A4" s="51" t="s">
        <v>11</v>
      </c>
      <c r="B4" s="58">
        <v>0</v>
      </c>
      <c r="E4" s="6">
        <f t="shared" ref="E4:E14" si="14">E3-15</f>
        <v>60</v>
      </c>
      <c r="F4" s="7">
        <f t="shared" si="0"/>
        <v>6.6987298107780702E-2</v>
      </c>
      <c r="G4" s="4">
        <f t="shared" si="1"/>
        <v>0.66987298107780702</v>
      </c>
      <c r="H4" s="4">
        <f t="shared" si="7"/>
        <v>372.05771365940052</v>
      </c>
      <c r="I4" s="4">
        <f t="shared" si="8"/>
        <v>206.69872981077808</v>
      </c>
      <c r="J4" s="4">
        <f t="shared" si="2"/>
        <v>289.37822173508931</v>
      </c>
      <c r="K4" s="4">
        <f t="shared" si="3"/>
        <v>351.38784067832273</v>
      </c>
      <c r="L4" s="4">
        <f t="shared" si="9"/>
        <v>3.807673872672467</v>
      </c>
      <c r="M4" s="4">
        <f t="shared" si="4"/>
        <v>0</v>
      </c>
      <c r="N4" s="11">
        <f t="shared" si="10"/>
        <v>165.35898384862244</v>
      </c>
      <c r="O4" s="11">
        <f t="shared" si="11"/>
        <v>156.228220439621</v>
      </c>
      <c r="P4" s="11">
        <f t="shared" si="12"/>
        <v>92.093121504672098</v>
      </c>
      <c r="Q4" s="14">
        <f t="shared" si="5"/>
        <v>0</v>
      </c>
      <c r="R4" s="14">
        <f t="shared" si="13"/>
        <v>1019.9894039425971</v>
      </c>
      <c r="S4" s="26">
        <f t="shared" si="6"/>
        <v>247.22677068300902</v>
      </c>
      <c r="T4" s="23"/>
      <c r="U4" s="23"/>
      <c r="V4" s="23"/>
      <c r="W4" s="24"/>
      <c r="X4" s="24"/>
      <c r="Y4" s="23"/>
    </row>
    <row r="5" spans="1:25" x14ac:dyDescent="0.25">
      <c r="A5" s="51" t="s">
        <v>1</v>
      </c>
      <c r="B5" s="58">
        <v>18</v>
      </c>
      <c r="E5" s="6">
        <f t="shared" si="14"/>
        <v>45</v>
      </c>
      <c r="F5" s="7">
        <f t="shared" si="0"/>
        <v>0.14644660940672627</v>
      </c>
      <c r="G5" s="4">
        <f t="shared" si="1"/>
        <v>1.4644660940672627</v>
      </c>
      <c r="H5" s="4">
        <f t="shared" si="7"/>
        <v>386.36038969321072</v>
      </c>
      <c r="I5" s="4">
        <f t="shared" si="8"/>
        <v>214.64466094067262</v>
      </c>
      <c r="J5" s="4">
        <f t="shared" si="2"/>
        <v>300.50252531694167</v>
      </c>
      <c r="K5" s="4">
        <f t="shared" si="3"/>
        <v>343.4314575050762</v>
      </c>
      <c r="L5" s="4">
        <f t="shared" si="9"/>
        <v>3.4833962471268141</v>
      </c>
      <c r="M5" s="4">
        <f t="shared" si="4"/>
        <v>0</v>
      </c>
      <c r="N5" s="11">
        <f t="shared" si="10"/>
        <v>171.7157287525381</v>
      </c>
      <c r="O5" s="11">
        <f t="shared" si="11"/>
        <v>231.7373641406289</v>
      </c>
      <c r="P5" s="11">
        <f t="shared" si="12"/>
        <v>140.93265385769183</v>
      </c>
      <c r="Q5" s="14">
        <f t="shared" si="5"/>
        <v>0</v>
      </c>
      <c r="R5" s="14">
        <f t="shared" si="13"/>
        <v>1673.9827824736392</v>
      </c>
      <c r="S5" s="26">
        <f t="shared" si="6"/>
        <v>256.76188803888249</v>
      </c>
      <c r="T5" s="23"/>
      <c r="U5" s="23"/>
      <c r="V5" s="23"/>
      <c r="W5" s="23"/>
      <c r="X5" s="23"/>
      <c r="Y5" s="23"/>
    </row>
    <row r="6" spans="1:25" x14ac:dyDescent="0.25">
      <c r="A6" s="51" t="s">
        <v>2</v>
      </c>
      <c r="B6" s="58">
        <v>10</v>
      </c>
      <c r="D6" s="29"/>
      <c r="E6" s="6">
        <f t="shared" si="14"/>
        <v>30</v>
      </c>
      <c r="F6" s="7">
        <f t="shared" si="0"/>
        <v>0.25</v>
      </c>
      <c r="G6" s="4">
        <f t="shared" si="1"/>
        <v>2.5</v>
      </c>
      <c r="H6" s="4">
        <f t="shared" si="7"/>
        <v>405</v>
      </c>
      <c r="I6" s="4">
        <f t="shared" si="8"/>
        <v>225</v>
      </c>
      <c r="J6" s="4">
        <f t="shared" si="2"/>
        <v>315</v>
      </c>
      <c r="K6" s="4">
        <f t="shared" si="3"/>
        <v>337.5</v>
      </c>
      <c r="L6" s="4">
        <f t="shared" si="9"/>
        <v>3.0607894176710193</v>
      </c>
      <c r="M6" s="4">
        <f t="shared" si="4"/>
        <v>0</v>
      </c>
      <c r="N6" s="11">
        <f t="shared" si="10"/>
        <v>180</v>
      </c>
      <c r="O6" s="11">
        <f t="shared" si="11"/>
        <v>271.06904570468527</v>
      </c>
      <c r="P6" s="11">
        <f t="shared" si="12"/>
        <v>172.01293716323167</v>
      </c>
      <c r="Q6" s="14">
        <f t="shared" si="5"/>
        <v>0</v>
      </c>
      <c r="R6" s="14">
        <f t="shared" si="13"/>
        <v>2276.3347648318436</v>
      </c>
      <c r="S6" s="26">
        <f t="shared" si="6"/>
        <v>269.18829491007534</v>
      </c>
      <c r="T6" s="23"/>
      <c r="U6" s="24"/>
      <c r="V6" s="28"/>
      <c r="W6" s="23"/>
      <c r="X6" s="23"/>
      <c r="Y6" s="23"/>
    </row>
    <row r="7" spans="1:25" x14ac:dyDescent="0.25">
      <c r="A7" s="51" t="s">
        <v>6</v>
      </c>
      <c r="B7" s="58">
        <v>30</v>
      </c>
      <c r="D7" s="29"/>
      <c r="E7" s="6">
        <f t="shared" si="14"/>
        <v>15</v>
      </c>
      <c r="F7" s="7">
        <f t="shared" si="0"/>
        <v>0.37059047744873963</v>
      </c>
      <c r="G7" s="4">
        <f t="shared" si="1"/>
        <v>3.7059047744873963</v>
      </c>
      <c r="H7" s="4">
        <f t="shared" si="7"/>
        <v>426.70628594077311</v>
      </c>
      <c r="I7" s="4">
        <f t="shared" si="8"/>
        <v>237.05904774487396</v>
      </c>
      <c r="J7" s="4">
        <f t="shared" si="2"/>
        <v>331.88266684282354</v>
      </c>
      <c r="K7" s="4">
        <f t="shared" si="3"/>
        <v>338.23464488299658</v>
      </c>
      <c r="L7" s="4">
        <f t="shared" si="9"/>
        <v>2.5686533413416885</v>
      </c>
      <c r="M7" s="4">
        <f t="shared" si="4"/>
        <v>0</v>
      </c>
      <c r="N7" s="11">
        <f t="shared" si="10"/>
        <v>189.64723819589915</v>
      </c>
      <c r="O7" s="11">
        <f t="shared" si="11"/>
        <v>271.5428760318764</v>
      </c>
      <c r="P7" s="11">
        <f t="shared" si="12"/>
        <v>181.09867529997962</v>
      </c>
      <c r="Q7" s="14">
        <f t="shared" si="5"/>
        <v>0</v>
      </c>
      <c r="R7" s="14">
        <f t="shared" si="13"/>
        <v>2785.9960588532167</v>
      </c>
      <c r="S7" s="26">
        <f t="shared" si="6"/>
        <v>283.65915220392412</v>
      </c>
      <c r="T7" s="23"/>
      <c r="U7" s="23"/>
      <c r="V7" s="23"/>
      <c r="W7" s="23"/>
      <c r="X7" s="23"/>
      <c r="Y7" s="23"/>
    </row>
    <row r="8" spans="1:25" x14ac:dyDescent="0.25">
      <c r="A8" s="51" t="s">
        <v>4</v>
      </c>
      <c r="B8" s="59">
        <v>0.5</v>
      </c>
      <c r="D8" s="29"/>
      <c r="E8" s="6">
        <f t="shared" si="14"/>
        <v>0</v>
      </c>
      <c r="F8" s="7">
        <f t="shared" si="0"/>
        <v>0.5</v>
      </c>
      <c r="G8" s="4">
        <f t="shared" si="1"/>
        <v>5</v>
      </c>
      <c r="H8" s="4">
        <f t="shared" si="7"/>
        <v>450</v>
      </c>
      <c r="I8" s="4">
        <f t="shared" si="8"/>
        <v>250</v>
      </c>
      <c r="J8" s="4">
        <f t="shared" si="2"/>
        <v>350</v>
      </c>
      <c r="K8" s="4">
        <f t="shared" si="3"/>
        <v>350</v>
      </c>
      <c r="L8" s="4">
        <f t="shared" si="9"/>
        <v>2.0405262784473459</v>
      </c>
      <c r="M8" s="4">
        <f t="shared" si="4"/>
        <v>0</v>
      </c>
      <c r="N8" s="11">
        <f t="shared" si="10"/>
        <v>200</v>
      </c>
      <c r="O8" s="11">
        <f t="shared" si="11"/>
        <v>238.58869357995999</v>
      </c>
      <c r="P8" s="11">
        <f t="shared" si="12"/>
        <v>167.73004202581319</v>
      </c>
      <c r="Q8" s="14">
        <f t="shared" si="5"/>
        <v>0</v>
      </c>
      <c r="R8" s="14">
        <f t="shared" si="13"/>
        <v>3151.5039411467837</v>
      </c>
      <c r="S8" s="26">
        <f t="shared" si="6"/>
        <v>299.18829491007534</v>
      </c>
      <c r="T8" s="23"/>
      <c r="U8" s="23"/>
      <c r="V8" s="23"/>
      <c r="W8" s="23"/>
      <c r="X8" s="23"/>
      <c r="Y8" s="23"/>
    </row>
    <row r="9" spans="1:25" x14ac:dyDescent="0.25">
      <c r="A9" s="71" t="s">
        <v>3</v>
      </c>
      <c r="B9" s="72">
        <v>12</v>
      </c>
      <c r="D9" s="29"/>
      <c r="E9" s="6">
        <f t="shared" si="14"/>
        <v>-15</v>
      </c>
      <c r="F9" s="7">
        <f t="shared" si="0"/>
        <v>0.62940952255126037</v>
      </c>
      <c r="G9" s="4">
        <f t="shared" si="1"/>
        <v>6.2940952255126037</v>
      </c>
      <c r="H9" s="4">
        <f t="shared" si="7"/>
        <v>473.29371405922689</v>
      </c>
      <c r="I9" s="4">
        <f t="shared" si="8"/>
        <v>262.94095225512604</v>
      </c>
      <c r="J9" s="4">
        <f t="shared" si="2"/>
        <v>368.11733315717646</v>
      </c>
      <c r="K9" s="4">
        <f t="shared" si="3"/>
        <v>375.16281473855958</v>
      </c>
      <c r="L9" s="4">
        <f t="shared" si="9"/>
        <v>1.5123992155530033</v>
      </c>
      <c r="M9" s="4">
        <f t="shared" si="4"/>
        <v>0</v>
      </c>
      <c r="N9" s="11">
        <f t="shared" si="10"/>
        <v>210.35276180410085</v>
      </c>
      <c r="O9" s="11">
        <f t="shared" si="11"/>
        <v>183.9129567355148</v>
      </c>
      <c r="P9" s="11">
        <f t="shared" si="12"/>
        <v>136.16299064053172</v>
      </c>
      <c r="Q9" s="14">
        <f t="shared" si="5"/>
        <v>0</v>
      </c>
      <c r="R9" s="14">
        <f t="shared" si="13"/>
        <v>3318.9721864162348</v>
      </c>
      <c r="S9" s="26">
        <f t="shared" si="6"/>
        <v>314.71743761622656</v>
      </c>
    </row>
    <row r="10" spans="1:25" ht="16.5" x14ac:dyDescent="0.25">
      <c r="A10" s="30" t="s">
        <v>20</v>
      </c>
      <c r="B10" s="26">
        <f>(B3*B5)</f>
        <v>360</v>
      </c>
      <c r="D10" s="29"/>
      <c r="E10" s="6">
        <f t="shared" si="14"/>
        <v>-30</v>
      </c>
      <c r="F10" s="7">
        <f t="shared" si="0"/>
        <v>0.75</v>
      </c>
      <c r="G10" s="4">
        <f t="shared" si="1"/>
        <v>7.5</v>
      </c>
      <c r="H10" s="4">
        <f t="shared" si="7"/>
        <v>495</v>
      </c>
      <c r="I10" s="4">
        <f t="shared" si="8"/>
        <v>275</v>
      </c>
      <c r="J10" s="4">
        <f t="shared" si="2"/>
        <v>385</v>
      </c>
      <c r="K10" s="4">
        <f t="shared" si="3"/>
        <v>412.5</v>
      </c>
      <c r="L10" s="4">
        <f t="shared" si="9"/>
        <v>1.0202631392236725</v>
      </c>
      <c r="M10" s="4">
        <f t="shared" si="4"/>
        <v>0</v>
      </c>
      <c r="N10" s="11">
        <f t="shared" si="10"/>
        <v>220</v>
      </c>
      <c r="O10" s="11">
        <f t="shared" si="11"/>
        <v>122.16598503158714</v>
      </c>
      <c r="P10" s="11">
        <f t="shared" si="12"/>
        <v>94.855887070253047</v>
      </c>
      <c r="Q10" s="14">
        <f t="shared" si="5"/>
        <v>0</v>
      </c>
      <c r="R10" s="14">
        <f t="shared" si="13"/>
        <v>3243.5278135837648</v>
      </c>
      <c r="S10" s="26">
        <f t="shared" si="6"/>
        <v>329.18829491007534</v>
      </c>
    </row>
    <row r="11" spans="1:25" x14ac:dyDescent="0.25">
      <c r="A11" s="19" t="s">
        <v>19</v>
      </c>
      <c r="B11" s="26">
        <f>IF((B3-B4)*B6&gt;0,(B3-B4)*B6,0)</f>
        <v>200</v>
      </c>
      <c r="D11" s="29"/>
      <c r="E11" s="6">
        <f t="shared" si="14"/>
        <v>-45</v>
      </c>
      <c r="F11" s="7">
        <f t="shared" si="0"/>
        <v>0.85355339059327373</v>
      </c>
      <c r="G11" s="4">
        <f t="shared" si="1"/>
        <v>8.5355339059327378</v>
      </c>
      <c r="H11" s="4">
        <f t="shared" si="7"/>
        <v>513.63961030678934</v>
      </c>
      <c r="I11" s="4">
        <f t="shared" si="8"/>
        <v>285.35533905932738</v>
      </c>
      <c r="J11" s="4">
        <f t="shared" si="2"/>
        <v>399.49747468305839</v>
      </c>
      <c r="K11" s="4">
        <f t="shared" si="3"/>
        <v>456.5685424949238</v>
      </c>
      <c r="L11" s="4">
        <f t="shared" si="9"/>
        <v>0.59765630976787776</v>
      </c>
      <c r="M11" s="4">
        <f t="shared" si="4"/>
        <v>0</v>
      </c>
      <c r="N11" s="11">
        <f t="shared" si="10"/>
        <v>228.28427124746196</v>
      </c>
      <c r="O11" s="11">
        <f t="shared" si="11"/>
        <v>67.016417859950977</v>
      </c>
      <c r="P11" s="11">
        <f t="shared" si="12"/>
        <v>54.203097548223617</v>
      </c>
      <c r="Q11" s="14">
        <f t="shared" si="5"/>
        <v>0</v>
      </c>
      <c r="R11" s="14">
        <f t="shared" si="13"/>
        <v>2901.3347648318445</v>
      </c>
      <c r="S11" s="26">
        <f t="shared" si="6"/>
        <v>341.6147017812682</v>
      </c>
    </row>
    <row r="12" spans="1:25" x14ac:dyDescent="0.25">
      <c r="A12" s="34" t="s">
        <v>27</v>
      </c>
      <c r="B12" s="60">
        <f>B22-(B11+((B2/2)*B6))</f>
        <v>49.188294910075342</v>
      </c>
      <c r="D12" s="29"/>
      <c r="E12" s="6">
        <f t="shared" si="14"/>
        <v>-60</v>
      </c>
      <c r="F12" s="7">
        <f t="shared" si="0"/>
        <v>0.9330127018922193</v>
      </c>
      <c r="G12" s="4">
        <f t="shared" si="1"/>
        <v>9.3301270189221928</v>
      </c>
      <c r="H12" s="4">
        <f t="shared" si="7"/>
        <v>527.94228634059948</v>
      </c>
      <c r="I12" s="4">
        <f t="shared" si="8"/>
        <v>293.30127018922195</v>
      </c>
      <c r="J12" s="4">
        <f t="shared" si="2"/>
        <v>410.62177826491074</v>
      </c>
      <c r="K12" s="4">
        <f t="shared" si="3"/>
        <v>498.61215932167727</v>
      </c>
      <c r="L12" s="4">
        <f t="shared" si="9"/>
        <v>0.27337868422222489</v>
      </c>
      <c r="M12" s="4">
        <f t="shared" si="4"/>
        <v>0</v>
      </c>
      <c r="N12" s="11">
        <f t="shared" si="10"/>
        <v>234.64101615137753</v>
      </c>
      <c r="O12" s="11">
        <f t="shared" si="11"/>
        <v>27.684736295893568</v>
      </c>
      <c r="P12" s="11">
        <f t="shared" si="12"/>
        <v>23.122814242683724</v>
      </c>
      <c r="Q12" s="14">
        <f t="shared" si="5"/>
        <v>0</v>
      </c>
      <c r="R12" s="14">
        <f t="shared" si="13"/>
        <v>2298.9827824736371</v>
      </c>
      <c r="S12" s="26">
        <f t="shared" si="6"/>
        <v>351.14981913714166</v>
      </c>
    </row>
    <row r="13" spans="1:25" ht="15" customHeight="1" x14ac:dyDescent="0.25">
      <c r="A13" s="61" t="s">
        <v>5</v>
      </c>
      <c r="B13" s="35">
        <v>22.200629413684197</v>
      </c>
      <c r="D13" s="29"/>
      <c r="E13" s="6">
        <f t="shared" si="14"/>
        <v>-75</v>
      </c>
      <c r="F13" s="7">
        <f t="shared" si="0"/>
        <v>0.9829629131445341</v>
      </c>
      <c r="G13" s="4">
        <f t="shared" si="1"/>
        <v>9.8296291314453406</v>
      </c>
      <c r="H13" s="4">
        <f t="shared" si="7"/>
        <v>536.93332436601611</v>
      </c>
      <c r="I13" s="4">
        <f t="shared" si="8"/>
        <v>298.29629131445341</v>
      </c>
      <c r="J13" s="4">
        <f t="shared" si="2"/>
        <v>417.61480784023479</v>
      </c>
      <c r="K13" s="4">
        <f t="shared" si="3"/>
        <v>528.94049932972541</v>
      </c>
      <c r="L13" s="4">
        <f t="shared" si="9"/>
        <v>6.9529246873535622E-2</v>
      </c>
      <c r="M13" s="4">
        <f t="shared" si="4"/>
        <v>0</v>
      </c>
      <c r="N13" s="11">
        <f t="shared" si="10"/>
        <v>238.6370330515627</v>
      </c>
      <c r="O13" s="11">
        <f t="shared" si="11"/>
        <v>6.851329439330951</v>
      </c>
      <c r="P13" s="11">
        <f t="shared" si="12"/>
        <v>5.8503332749454664</v>
      </c>
      <c r="Q13" s="14">
        <f t="shared" si="5"/>
        <v>0</v>
      </c>
      <c r="R13" s="14">
        <f t="shared" si="13"/>
        <v>1477.5211586731436</v>
      </c>
      <c r="S13" s="26">
        <f t="shared" si="6"/>
        <v>357.14384448741941</v>
      </c>
    </row>
    <row r="14" spans="1:25" x14ac:dyDescent="0.25">
      <c r="A14" s="79" t="s">
        <v>42</v>
      </c>
      <c r="B14" s="80"/>
      <c r="C14" s="24" t="s">
        <v>36</v>
      </c>
      <c r="D14" s="29"/>
      <c r="E14" s="8">
        <f t="shared" si="14"/>
        <v>-90</v>
      </c>
      <c r="F14" s="9">
        <f t="shared" si="0"/>
        <v>1</v>
      </c>
      <c r="G14" s="5">
        <f t="shared" si="1"/>
        <v>10</v>
      </c>
      <c r="H14" s="5">
        <f t="shared" si="7"/>
        <v>540</v>
      </c>
      <c r="I14" s="5">
        <f t="shared" si="8"/>
        <v>300</v>
      </c>
      <c r="J14" s="5">
        <f t="shared" si="2"/>
        <v>420</v>
      </c>
      <c r="K14" s="4">
        <f t="shared" si="3"/>
        <v>540</v>
      </c>
      <c r="L14" s="4">
        <f t="shared" si="9"/>
        <v>-6.2450045135165055E-16</v>
      </c>
      <c r="M14" s="5">
        <f>IF($B$1="NO",0,B12)</f>
        <v>0</v>
      </c>
      <c r="N14" s="12">
        <f t="shared" si="10"/>
        <v>240</v>
      </c>
      <c r="O14" s="12">
        <f t="shared" si="11"/>
        <v>0.47383032719182977</v>
      </c>
      <c r="P14" s="11">
        <f t="shared" si="12"/>
        <v>0.40918390822075584</v>
      </c>
      <c r="Q14" s="14">
        <f t="shared" si="5"/>
        <v>0</v>
      </c>
      <c r="R14" s="15">
        <f t="shared" si="13"/>
        <v>509.66129402137483</v>
      </c>
      <c r="S14" s="26">
        <f t="shared" si="6"/>
        <v>359.18829491007534</v>
      </c>
    </row>
    <row r="15" spans="1:25" x14ac:dyDescent="0.25">
      <c r="A15" s="36" t="s">
        <v>12</v>
      </c>
      <c r="B15" s="26">
        <f>B2*L2*N2</f>
        <v>6529.6840910315086</v>
      </c>
      <c r="C15" s="1">
        <f>(B10-B11)*B2*B2*TAN(RADIANS(B13))</f>
        <v>6529.6840910315077</v>
      </c>
      <c r="D15" s="29"/>
      <c r="E15" s="37">
        <v>-75</v>
      </c>
      <c r="F15" s="17" t="s">
        <v>14</v>
      </c>
      <c r="G15" s="17" t="s">
        <v>14</v>
      </c>
      <c r="H15" s="17">
        <f>INDEX(H$2:H$14,MATCH($E15,$E$2:$E$14,0))</f>
        <v>536.93332436601611</v>
      </c>
      <c r="I15" s="17" t="s">
        <v>14</v>
      </c>
      <c r="J15" s="17">
        <f>INDEX(J$2:J$14,MATCH($E15,$E$2:$E$14,0))</f>
        <v>417.61480784023479</v>
      </c>
      <c r="K15" s="17">
        <f>INDEX(K$2:K$14,MATCH($E15,$E$2:$E$14,0))</f>
        <v>528.94049932972541</v>
      </c>
      <c r="L15" s="17" t="s">
        <v>14</v>
      </c>
      <c r="M15" s="17" t="s">
        <v>14</v>
      </c>
      <c r="N15" s="17" t="s">
        <v>14</v>
      </c>
      <c r="O15" s="17" t="s">
        <v>14</v>
      </c>
      <c r="P15" s="17" t="s">
        <v>14</v>
      </c>
      <c r="Q15" s="17" t="s">
        <v>14</v>
      </c>
      <c r="R15" s="17" t="s">
        <v>14</v>
      </c>
      <c r="S15" s="38">
        <f>INDEX(S$2:S$14,MATCH($E15,$E$2:$E$14,0))</f>
        <v>357.14384448741941</v>
      </c>
    </row>
    <row r="16" spans="1:25" x14ac:dyDescent="0.25">
      <c r="A16" s="39" t="s">
        <v>7</v>
      </c>
      <c r="B16" s="26">
        <f>SUM(O3:O14)</f>
        <v>1632.4210227578767</v>
      </c>
      <c r="C16" s="1">
        <f>(B5-B6)*B2*B2*B2*TAN(RADIANS(B13))/2</f>
        <v>1632.4210227578769</v>
      </c>
      <c r="D16" s="29"/>
      <c r="E16" s="40">
        <v>-60</v>
      </c>
      <c r="F16" s="16" t="s">
        <v>14</v>
      </c>
      <c r="G16" s="16" t="s">
        <v>14</v>
      </c>
      <c r="H16" s="16">
        <f t="shared" ref="H16:K25" si="15">INDEX(H$2:H$14,MATCH($E16,$E$2:$E$14,0))</f>
        <v>527.94228634059948</v>
      </c>
      <c r="I16" s="16" t="s">
        <v>14</v>
      </c>
      <c r="J16" s="16">
        <f t="shared" si="15"/>
        <v>410.62177826491074</v>
      </c>
      <c r="K16" s="16">
        <f t="shared" si="15"/>
        <v>498.61215932167727</v>
      </c>
      <c r="L16" s="16" t="s">
        <v>14</v>
      </c>
      <c r="M16" s="16" t="s">
        <v>14</v>
      </c>
      <c r="N16" s="16" t="s">
        <v>14</v>
      </c>
      <c r="O16" s="16" t="s">
        <v>14</v>
      </c>
      <c r="P16" s="16" t="s">
        <v>14</v>
      </c>
      <c r="Q16" s="16" t="s">
        <v>14</v>
      </c>
      <c r="R16" s="16" t="s">
        <v>14</v>
      </c>
      <c r="S16" s="41">
        <f t="shared" ref="S16:S25" si="16">INDEX(S$2:S$14,MATCH($E16,$E$2:$E$14,0))</f>
        <v>351.14981913714166</v>
      </c>
    </row>
    <row r="17" spans="1:19" x14ac:dyDescent="0.25">
      <c r="A17" s="39" t="s">
        <v>8</v>
      </c>
      <c r="B17" s="26">
        <f>SUM(P3:P14)</f>
        <v>1100.4479718297491</v>
      </c>
      <c r="C17" s="1">
        <f>B8*B2*B2*TAN(RADIANS(B7))*TAN(RADIANS(B13))*(B10-B11+(B2*(B5-B6)/3))/2</f>
        <v>1099.5585030734087</v>
      </c>
      <c r="D17" s="29"/>
      <c r="E17" s="40">
        <v>-45</v>
      </c>
      <c r="F17" s="16" t="s">
        <v>14</v>
      </c>
      <c r="G17" s="16" t="s">
        <v>14</v>
      </c>
      <c r="H17" s="16">
        <f t="shared" si="15"/>
        <v>513.63961030678934</v>
      </c>
      <c r="I17" s="16" t="s">
        <v>14</v>
      </c>
      <c r="J17" s="16">
        <f t="shared" si="15"/>
        <v>399.49747468305839</v>
      </c>
      <c r="K17" s="16">
        <f t="shared" si="15"/>
        <v>456.5685424949238</v>
      </c>
      <c r="L17" s="16" t="s">
        <v>14</v>
      </c>
      <c r="M17" s="16" t="s">
        <v>14</v>
      </c>
      <c r="N17" s="16" t="s">
        <v>14</v>
      </c>
      <c r="O17" s="16" t="s">
        <v>14</v>
      </c>
      <c r="P17" s="16" t="s">
        <v>14</v>
      </c>
      <c r="Q17" s="16" t="s">
        <v>14</v>
      </c>
      <c r="R17" s="16" t="s">
        <v>14</v>
      </c>
      <c r="S17" s="41">
        <f t="shared" si="16"/>
        <v>341.6147017812682</v>
      </c>
    </row>
    <row r="18" spans="1:19" x14ac:dyDescent="0.25">
      <c r="A18" s="39" t="s">
        <v>13</v>
      </c>
      <c r="B18" s="26">
        <f>((B15+B16)/TAN(RADIANS(B13)+RADIANS(B7)))-(2*B17*COS(RADIANS(B7))/SIN(RADIANS($B$13)+RADIANS(B7)))</f>
        <v>3918.8294910075333</v>
      </c>
      <c r="C18" s="1">
        <f>((C15+C16)/TAN(RADIANS(B13)+RADIANS(B7)))-(2*C17*COS(RADIANS(B7))/SIN(RADIANS($B$13)+RADIANS(B7)))</f>
        <v>3920.7792248270312</v>
      </c>
      <c r="D18" s="29"/>
      <c r="E18" s="40">
        <v>-30</v>
      </c>
      <c r="F18" s="16" t="s">
        <v>14</v>
      </c>
      <c r="G18" s="16" t="s">
        <v>14</v>
      </c>
      <c r="H18" s="16">
        <f t="shared" si="15"/>
        <v>495</v>
      </c>
      <c r="I18" s="16" t="s">
        <v>14</v>
      </c>
      <c r="J18" s="16">
        <f t="shared" si="15"/>
        <v>385</v>
      </c>
      <c r="K18" s="16">
        <f t="shared" si="15"/>
        <v>412.5</v>
      </c>
      <c r="L18" s="16" t="s">
        <v>14</v>
      </c>
      <c r="M18" s="16" t="s">
        <v>14</v>
      </c>
      <c r="N18" s="16" t="s">
        <v>14</v>
      </c>
      <c r="O18" s="16" t="s">
        <v>14</v>
      </c>
      <c r="P18" s="16" t="s">
        <v>14</v>
      </c>
      <c r="Q18" s="16" t="s">
        <v>14</v>
      </c>
      <c r="R18" s="16" t="s">
        <v>14</v>
      </c>
      <c r="S18" s="41">
        <f t="shared" si="16"/>
        <v>329.18829491007534</v>
      </c>
    </row>
    <row r="19" spans="1:19" x14ac:dyDescent="0.25">
      <c r="A19" s="42" t="s">
        <v>32</v>
      </c>
      <c r="B19" s="26">
        <f>SUM(R3:R14)</f>
        <v>25000</v>
      </c>
      <c r="C19" s="1"/>
      <c r="D19" s="29"/>
      <c r="E19" s="40">
        <v>-15</v>
      </c>
      <c r="F19" s="16" t="s">
        <v>14</v>
      </c>
      <c r="G19" s="16" t="s">
        <v>14</v>
      </c>
      <c r="H19" s="16">
        <f t="shared" si="15"/>
        <v>473.29371405922689</v>
      </c>
      <c r="I19" s="16" t="s">
        <v>14</v>
      </c>
      <c r="J19" s="16">
        <f t="shared" si="15"/>
        <v>368.11733315717646</v>
      </c>
      <c r="K19" s="16">
        <f t="shared" si="15"/>
        <v>375.16281473855958</v>
      </c>
      <c r="L19" s="16" t="s">
        <v>14</v>
      </c>
      <c r="M19" s="16" t="s">
        <v>14</v>
      </c>
      <c r="N19" s="16" t="s">
        <v>14</v>
      </c>
      <c r="O19" s="16" t="s">
        <v>14</v>
      </c>
      <c r="P19" s="16" t="s">
        <v>14</v>
      </c>
      <c r="Q19" s="16" t="s">
        <v>14</v>
      </c>
      <c r="R19" s="16" t="s">
        <v>14</v>
      </c>
      <c r="S19" s="41">
        <f t="shared" si="16"/>
        <v>314.71743761622656</v>
      </c>
    </row>
    <row r="20" spans="1:19" x14ac:dyDescent="0.25">
      <c r="A20" s="63" t="s">
        <v>9</v>
      </c>
      <c r="B20" s="62">
        <f>(B18+B19)*PI()/4</f>
        <v>22712.795569841281</v>
      </c>
      <c r="C20" s="23"/>
      <c r="D20" s="1"/>
      <c r="E20" s="40">
        <v>0</v>
      </c>
      <c r="F20" s="16" t="s">
        <v>14</v>
      </c>
      <c r="G20" s="16" t="s">
        <v>14</v>
      </c>
      <c r="H20" s="16">
        <f t="shared" si="15"/>
        <v>450</v>
      </c>
      <c r="I20" s="16" t="s">
        <v>14</v>
      </c>
      <c r="J20" s="16">
        <f t="shared" si="15"/>
        <v>350</v>
      </c>
      <c r="K20" s="16">
        <f t="shared" si="15"/>
        <v>350</v>
      </c>
      <c r="L20" s="16" t="s">
        <v>14</v>
      </c>
      <c r="M20" s="16" t="s">
        <v>14</v>
      </c>
      <c r="N20" s="16" t="s">
        <v>14</v>
      </c>
      <c r="O20" s="16" t="s">
        <v>14</v>
      </c>
      <c r="P20" s="16" t="s">
        <v>14</v>
      </c>
      <c r="Q20" s="16" t="s">
        <v>14</v>
      </c>
      <c r="R20" s="16" t="s">
        <v>14</v>
      </c>
      <c r="S20" s="41">
        <f t="shared" si="16"/>
        <v>299.18829491007534</v>
      </c>
    </row>
    <row r="21" spans="1:19" x14ac:dyDescent="0.25">
      <c r="A21" s="64" t="s">
        <v>37</v>
      </c>
      <c r="B21" s="65">
        <f>4*B20/(PI()*$B$2*$B$2)</f>
        <v>289.18829491007534</v>
      </c>
      <c r="C21" s="1"/>
      <c r="D21" s="1"/>
      <c r="E21" s="40">
        <v>15</v>
      </c>
      <c r="F21" s="16" t="s">
        <v>14</v>
      </c>
      <c r="G21" s="16" t="s">
        <v>14</v>
      </c>
      <c r="H21" s="16">
        <f t="shared" si="15"/>
        <v>426.70628594077311</v>
      </c>
      <c r="I21" s="16" t="s">
        <v>14</v>
      </c>
      <c r="J21" s="16">
        <f t="shared" si="15"/>
        <v>331.88266684282354</v>
      </c>
      <c r="K21" s="16">
        <f t="shared" si="15"/>
        <v>338.23464488299658</v>
      </c>
      <c r="L21" s="16" t="s">
        <v>14</v>
      </c>
      <c r="M21" s="16" t="s">
        <v>14</v>
      </c>
      <c r="N21" s="16" t="s">
        <v>14</v>
      </c>
      <c r="O21" s="16" t="s">
        <v>14</v>
      </c>
      <c r="P21" s="16" t="s">
        <v>14</v>
      </c>
      <c r="Q21" s="16" t="s">
        <v>14</v>
      </c>
      <c r="R21" s="16" t="s">
        <v>14</v>
      </c>
      <c r="S21" s="41">
        <f t="shared" si="16"/>
        <v>283.65915220392412</v>
      </c>
    </row>
    <row r="22" spans="1:19" x14ac:dyDescent="0.25">
      <c r="A22" s="66" t="s">
        <v>38</v>
      </c>
      <c r="B22" s="26">
        <f>B21+10</f>
        <v>299.18829491007534</v>
      </c>
      <c r="C22" s="1"/>
      <c r="D22" s="29"/>
      <c r="E22" s="40">
        <v>30</v>
      </c>
      <c r="F22" s="16" t="s">
        <v>14</v>
      </c>
      <c r="G22" s="16" t="s">
        <v>14</v>
      </c>
      <c r="H22" s="16">
        <f t="shared" si="15"/>
        <v>405</v>
      </c>
      <c r="I22" s="16" t="s">
        <v>14</v>
      </c>
      <c r="J22" s="16">
        <f t="shared" si="15"/>
        <v>315</v>
      </c>
      <c r="K22" s="16">
        <f t="shared" si="15"/>
        <v>337.5</v>
      </c>
      <c r="L22" s="16" t="s">
        <v>14</v>
      </c>
      <c r="M22" s="16" t="s">
        <v>14</v>
      </c>
      <c r="N22" s="16" t="s">
        <v>14</v>
      </c>
      <c r="O22" s="16" t="s">
        <v>14</v>
      </c>
      <c r="P22" s="16" t="s">
        <v>14</v>
      </c>
      <c r="Q22" s="16" t="s">
        <v>14</v>
      </c>
      <c r="R22" s="16" t="s">
        <v>14</v>
      </c>
      <c r="S22" s="41">
        <f t="shared" si="16"/>
        <v>269.18829491007534</v>
      </c>
    </row>
    <row r="23" spans="1:19" x14ac:dyDescent="0.25">
      <c r="A23" s="67" t="s">
        <v>39</v>
      </c>
      <c r="B23" s="26">
        <f>B10+(B9*B2/2)</f>
        <v>420</v>
      </c>
      <c r="C23" s="1"/>
      <c r="D23" s="1"/>
      <c r="E23" s="40">
        <v>45</v>
      </c>
      <c r="F23" s="16" t="s">
        <v>14</v>
      </c>
      <c r="G23" s="16" t="s">
        <v>14</v>
      </c>
      <c r="H23" s="16">
        <f t="shared" si="15"/>
        <v>386.36038969321072</v>
      </c>
      <c r="I23" s="16" t="s">
        <v>14</v>
      </c>
      <c r="J23" s="16">
        <f t="shared" si="15"/>
        <v>300.50252531694167</v>
      </c>
      <c r="K23" s="16">
        <f t="shared" si="15"/>
        <v>343.4314575050762</v>
      </c>
      <c r="L23" s="16" t="s">
        <v>14</v>
      </c>
      <c r="M23" s="16" t="s">
        <v>14</v>
      </c>
      <c r="N23" s="16" t="s">
        <v>14</v>
      </c>
      <c r="O23" s="16" t="s">
        <v>14</v>
      </c>
      <c r="P23" s="16" t="s">
        <v>14</v>
      </c>
      <c r="Q23" s="16" t="s">
        <v>14</v>
      </c>
      <c r="R23" s="16" t="s">
        <v>14</v>
      </c>
      <c r="S23" s="41">
        <f t="shared" si="16"/>
        <v>256.76188803888249</v>
      </c>
    </row>
    <row r="24" spans="1:19" x14ac:dyDescent="0.25">
      <c r="A24" s="31" t="s">
        <v>33</v>
      </c>
      <c r="B24" s="68" t="str">
        <f>IF(B23*0.9&gt;B22,"NO","BLOW")</f>
        <v>NO</v>
      </c>
      <c r="C24" s="1"/>
      <c r="D24" s="1"/>
      <c r="E24" s="40">
        <v>60</v>
      </c>
      <c r="F24" s="16" t="s">
        <v>14</v>
      </c>
      <c r="G24" s="16" t="s">
        <v>14</v>
      </c>
      <c r="H24" s="16">
        <f t="shared" si="15"/>
        <v>372.05771365940052</v>
      </c>
      <c r="I24" s="16" t="s">
        <v>14</v>
      </c>
      <c r="J24" s="16">
        <f t="shared" si="15"/>
        <v>289.37822173508931</v>
      </c>
      <c r="K24" s="16">
        <f t="shared" si="15"/>
        <v>351.38784067832273</v>
      </c>
      <c r="L24" s="16" t="s">
        <v>14</v>
      </c>
      <c r="M24" s="16" t="s">
        <v>14</v>
      </c>
      <c r="N24" s="16" t="s">
        <v>14</v>
      </c>
      <c r="O24" s="16" t="s">
        <v>14</v>
      </c>
      <c r="P24" s="16" t="s">
        <v>14</v>
      </c>
      <c r="Q24" s="16" t="s">
        <v>14</v>
      </c>
      <c r="R24" s="16" t="s">
        <v>14</v>
      </c>
      <c r="S24" s="41">
        <f t="shared" si="16"/>
        <v>247.22677068300902</v>
      </c>
    </row>
    <row r="25" spans="1:19" x14ac:dyDescent="0.25">
      <c r="A25" s="53" t="s">
        <v>47</v>
      </c>
      <c r="B25" s="73">
        <f>10^-5</f>
        <v>1.0000000000000001E-5</v>
      </c>
      <c r="D25" s="1"/>
      <c r="E25" s="43">
        <v>75</v>
      </c>
      <c r="F25" s="18" t="s">
        <v>14</v>
      </c>
      <c r="G25" s="18" t="s">
        <v>14</v>
      </c>
      <c r="H25" s="18">
        <f t="shared" si="15"/>
        <v>363.06667563398383</v>
      </c>
      <c r="I25" s="18" t="s">
        <v>14</v>
      </c>
      <c r="J25" s="18">
        <f t="shared" si="15"/>
        <v>282.38519215976521</v>
      </c>
      <c r="K25" s="18">
        <f t="shared" si="15"/>
        <v>357.66204104871844</v>
      </c>
      <c r="L25" s="18" t="s">
        <v>14</v>
      </c>
      <c r="M25" s="18" t="s">
        <v>14</v>
      </c>
      <c r="N25" s="18" t="s">
        <v>14</v>
      </c>
      <c r="O25" s="18" t="s">
        <v>14</v>
      </c>
      <c r="P25" s="18" t="s">
        <v>14</v>
      </c>
      <c r="Q25" s="18" t="s">
        <v>14</v>
      </c>
      <c r="R25" s="18" t="s">
        <v>14</v>
      </c>
      <c r="S25" s="44">
        <f t="shared" si="16"/>
        <v>241.23274533273124</v>
      </c>
    </row>
    <row r="26" spans="1:19" x14ac:dyDescent="0.25">
      <c r="A26" s="55" t="s">
        <v>45</v>
      </c>
      <c r="B26" s="54">
        <v>0.4</v>
      </c>
      <c r="C26" s="24"/>
      <c r="E26" s="46"/>
      <c r="F26" s="47"/>
      <c r="G26" s="47"/>
      <c r="H26" s="48"/>
      <c r="I26" s="47"/>
      <c r="J26" s="47"/>
      <c r="K26" s="47"/>
      <c r="L26" s="47"/>
      <c r="M26" s="48"/>
      <c r="N26" s="48"/>
      <c r="O26" s="48"/>
      <c r="P26" s="48"/>
      <c r="Q26" s="48"/>
      <c r="R26" s="48"/>
      <c r="S26" s="49"/>
    </row>
    <row r="27" spans="1:19" x14ac:dyDescent="0.25">
      <c r="A27" s="74" t="s">
        <v>46</v>
      </c>
      <c r="B27" s="75">
        <v>0.5</v>
      </c>
      <c r="E27" s="24"/>
      <c r="F27" s="24"/>
      <c r="G27" s="24"/>
      <c r="H27" s="24"/>
      <c r="I27" s="24"/>
      <c r="J27" s="24"/>
      <c r="K27" s="24"/>
      <c r="L27" s="24"/>
    </row>
    <row r="28" spans="1:19" x14ac:dyDescent="0.25">
      <c r="A28" s="33" t="s">
        <v>43</v>
      </c>
      <c r="B28" s="20">
        <f>(B12/10/(B2/2))</f>
        <v>0.98376589820150673</v>
      </c>
    </row>
    <row r="29" spans="1:19" x14ac:dyDescent="0.25">
      <c r="A29" s="19" t="s">
        <v>44</v>
      </c>
      <c r="B29" s="25">
        <f>B25*B28/B26</f>
        <v>2.4594147455037671E-5</v>
      </c>
    </row>
    <row r="30" spans="1:19" x14ac:dyDescent="0.25">
      <c r="A30" s="19" t="s">
        <v>48</v>
      </c>
      <c r="B30" s="27">
        <v>1</v>
      </c>
    </row>
    <row r="31" spans="1:19" x14ac:dyDescent="0.25">
      <c r="A31" s="76" t="s">
        <v>41</v>
      </c>
      <c r="B31" s="77" t="str">
        <f>IF(B29*1000&gt;B30,"IMPERMEABLE","PERMEABLE")</f>
        <v>PERMEABLE</v>
      </c>
    </row>
    <row r="32" spans="1:19" x14ac:dyDescent="0.25">
      <c r="A32" s="19" t="s">
        <v>35</v>
      </c>
      <c r="B32" s="32">
        <f>(B27-B26)/(1-B27)</f>
        <v>0.19999999999999996</v>
      </c>
    </row>
    <row r="33" spans="1:2" x14ac:dyDescent="0.25">
      <c r="A33" s="31" t="s">
        <v>49</v>
      </c>
      <c r="B33" s="78">
        <f>B32+(B26*(B29*B26*PI()*B2*B2/4)/(B26*PI()*B2*B2*B30/4000))</f>
        <v>0.20983765898201501</v>
      </c>
    </row>
    <row r="37" spans="1:2" x14ac:dyDescent="0.25">
      <c r="B37" s="28"/>
    </row>
    <row r="38" spans="1:2" x14ac:dyDescent="0.25">
      <c r="B38" s="57"/>
    </row>
    <row r="39" spans="1:2" x14ac:dyDescent="0.25">
      <c r="A39" s="21"/>
      <c r="B39" s="21"/>
    </row>
  </sheetData>
  <mergeCells count="1">
    <mergeCell ref="A14:B14"/>
  </mergeCells>
  <dataValidations count="1">
    <dataValidation type="list" allowBlank="1" showInputMessage="1" showErrorMessage="1" sqref="B1">
      <formula1>"YES, NO"</formula1>
    </dataValidation>
  </dataValidation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9218" r:id="rId3">
          <objectPr defaultSize="0" autoPict="0" r:id="rId4">
            <anchor moveWithCells="1">
              <from>
                <xdr:col>3</xdr:col>
                <xdr:colOff>228600</xdr:colOff>
                <xdr:row>30</xdr:row>
                <xdr:rowOff>66675</xdr:rowOff>
              </from>
              <to>
                <xdr:col>16</xdr:col>
                <xdr:colOff>666750</xdr:colOff>
                <xdr:row>34</xdr:row>
                <xdr:rowOff>47625</xdr:rowOff>
              </to>
            </anchor>
          </objectPr>
        </oleObject>
      </mc:Choice>
      <mc:Fallback>
        <oleObject progId="Equation.3" shapeId="9218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Face Support</vt:lpstr>
    </vt:vector>
  </TitlesOfParts>
  <Company>UGent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DICT</dc:creator>
  <cp:lastModifiedBy>Tiago Dias</cp:lastModifiedBy>
  <dcterms:created xsi:type="dcterms:W3CDTF">2015-06-15T14:25:14Z</dcterms:created>
  <dcterms:modified xsi:type="dcterms:W3CDTF">2016-05-15T17:17:38Z</dcterms:modified>
</cp:coreProperties>
</file>