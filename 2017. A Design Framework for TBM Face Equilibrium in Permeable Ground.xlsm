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iago\Downloads\"/>
    </mc:Choice>
  </mc:AlternateContent>
  <bookViews>
    <workbookView xWindow="480" yWindow="180" windowWidth="19440" windowHeight="9980"/>
  </bookViews>
  <sheets>
    <sheet name="Face Support" sheetId="9" r:id="rId1"/>
  </sheets>
  <definedNames>
    <definedName name="solver_adj" localSheetId="0" hidden="1">'Face Support'!$B$20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'Face Support'!$B$17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71027" refMode="R1C1" iterate="1"/>
</workbook>
</file>

<file path=xl/calcChain.xml><?xml version="1.0" encoding="utf-8"?>
<calcChain xmlns="http://schemas.openxmlformats.org/spreadsheetml/2006/main">
  <c r="P3" i="9" l="1"/>
  <c r="P4" i="9" s="1"/>
  <c r="P5" i="9" s="1"/>
  <c r="P6" i="9" s="1"/>
  <c r="P7" i="9" s="1"/>
  <c r="P8" i="9" s="1"/>
  <c r="P9" i="9" s="1"/>
  <c r="P10" i="9" s="1"/>
  <c r="P11" i="9" s="1"/>
  <c r="P12" i="9" s="1"/>
  <c r="P13" i="9" s="1"/>
  <c r="P14" i="9" s="1"/>
  <c r="P15" i="9" s="1"/>
  <c r="P16" i="9" s="1"/>
  <c r="P17" i="9" s="1"/>
  <c r="P18" i="9" s="1"/>
  <c r="P19" i="9" s="1"/>
  <c r="P20" i="9" s="1"/>
  <c r="P21" i="9" s="1"/>
  <c r="P22" i="9" s="1"/>
  <c r="P23" i="9" s="1"/>
  <c r="P24" i="9" s="1"/>
  <c r="P25" i="9" s="1"/>
  <c r="P26" i="9" s="1"/>
  <c r="P27" i="9" s="1"/>
  <c r="P28" i="9" s="1"/>
  <c r="P29" i="9" s="1"/>
  <c r="P30" i="9" s="1"/>
  <c r="P31" i="9" s="1"/>
  <c r="P32" i="9" s="1"/>
  <c r="P33" i="9" s="1"/>
  <c r="P34" i="9" s="1"/>
  <c r="P35" i="9" s="1"/>
  <c r="P36" i="9" s="1"/>
  <c r="P37" i="9" s="1"/>
  <c r="P38" i="9" s="1"/>
  <c r="P39" i="9" s="1"/>
  <c r="P40" i="9" s="1"/>
  <c r="P41" i="9" s="1"/>
  <c r="P42" i="9" s="1"/>
  <c r="P43" i="9" s="1"/>
  <c r="P44" i="9" s="1"/>
  <c r="P45" i="9" s="1"/>
  <c r="P46" i="9" s="1"/>
  <c r="P47" i="9" s="1"/>
  <c r="P48" i="9" s="1"/>
  <c r="P49" i="9" s="1"/>
  <c r="P50" i="9" s="1"/>
  <c r="P51" i="9" s="1"/>
  <c r="P52" i="9" s="1"/>
  <c r="P53" i="9" s="1"/>
  <c r="P54" i="9" s="1"/>
  <c r="P55" i="9" s="1"/>
  <c r="P56" i="9" s="1"/>
  <c r="P57" i="9" s="1"/>
  <c r="P58" i="9" s="1"/>
  <c r="P59" i="9" s="1"/>
  <c r="P60" i="9" s="1"/>
  <c r="P61" i="9" s="1"/>
  <c r="P62" i="9" s="1"/>
  <c r="P63" i="9" s="1"/>
  <c r="P64" i="9" s="1"/>
  <c r="P65" i="9" s="1"/>
  <c r="P66" i="9" s="1"/>
  <c r="P67" i="9" s="1"/>
  <c r="P68" i="9" s="1"/>
  <c r="P69" i="9" s="1"/>
  <c r="P70" i="9" s="1"/>
  <c r="P71" i="9" s="1"/>
  <c r="P72" i="9" s="1"/>
  <c r="P73" i="9" s="1"/>
  <c r="P74" i="9" s="1"/>
  <c r="P75" i="9" s="1"/>
  <c r="P76" i="9" s="1"/>
  <c r="P77" i="9" s="1"/>
  <c r="P78" i="9" s="1"/>
  <c r="P79" i="9" s="1"/>
  <c r="P80" i="9" s="1"/>
  <c r="P81" i="9" s="1"/>
  <c r="P82" i="9" s="1"/>
  <c r="P83" i="9" s="1"/>
  <c r="P84" i="9" s="1"/>
  <c r="P85" i="9" s="1"/>
  <c r="P86" i="9" s="1"/>
  <c r="P87" i="9" s="1"/>
  <c r="P88" i="9" s="1"/>
  <c r="P89" i="9" s="1"/>
  <c r="P90" i="9" s="1"/>
  <c r="P91" i="9" s="1"/>
  <c r="P92" i="9" s="1"/>
  <c r="P93" i="9" s="1"/>
  <c r="P94" i="9" s="1"/>
  <c r="P95" i="9" s="1"/>
  <c r="P96" i="9" s="1"/>
  <c r="P97" i="9" s="1"/>
  <c r="P98" i="9" s="1"/>
  <c r="P99" i="9" s="1"/>
  <c r="P100" i="9" s="1"/>
  <c r="P101" i="9" s="1"/>
  <c r="P102" i="9" s="1"/>
  <c r="P103" i="9" s="1"/>
  <c r="P104" i="9" s="1"/>
  <c r="P105" i="9" s="1"/>
  <c r="P106" i="9" s="1"/>
  <c r="P107" i="9" s="1"/>
  <c r="P108" i="9" s="1"/>
  <c r="P109" i="9" s="1"/>
  <c r="P110" i="9" s="1"/>
  <c r="P111" i="9" s="1"/>
  <c r="P112" i="9" s="1"/>
  <c r="P113" i="9" s="1"/>
  <c r="P114" i="9" s="1"/>
  <c r="P115" i="9" s="1"/>
  <c r="P116" i="9" s="1"/>
  <c r="P117" i="9" s="1"/>
  <c r="P118" i="9" s="1"/>
  <c r="P119" i="9" s="1"/>
  <c r="P120" i="9" s="1"/>
  <c r="P121" i="9" s="1"/>
  <c r="P122" i="9" s="1"/>
  <c r="P123" i="9" s="1"/>
  <c r="P124" i="9" s="1"/>
  <c r="P125" i="9" s="1"/>
  <c r="P126" i="9" s="1"/>
  <c r="P127" i="9" s="1"/>
  <c r="P128" i="9" s="1"/>
  <c r="P129" i="9" s="1"/>
  <c r="P130" i="9" s="1"/>
  <c r="P131" i="9" s="1"/>
  <c r="P132" i="9" s="1"/>
  <c r="P133" i="9" s="1"/>
  <c r="P134" i="9" s="1"/>
  <c r="P135" i="9" s="1"/>
  <c r="P136" i="9" s="1"/>
  <c r="P137" i="9" s="1"/>
  <c r="P138" i="9" s="1"/>
  <c r="P139" i="9" s="1"/>
  <c r="P140" i="9" s="1"/>
  <c r="P141" i="9" s="1"/>
  <c r="P142" i="9" s="1"/>
  <c r="P143" i="9" s="1"/>
  <c r="P144" i="9" s="1"/>
  <c r="P145" i="9" s="1"/>
  <c r="P146" i="9" s="1"/>
  <c r="P147" i="9" s="1"/>
  <c r="P148" i="9" s="1"/>
  <c r="P149" i="9" s="1"/>
  <c r="P150" i="9" s="1"/>
  <c r="P151" i="9" s="1"/>
  <c r="P152" i="9" s="1"/>
  <c r="P153" i="9" s="1"/>
  <c r="P154" i="9" s="1"/>
  <c r="P155" i="9" s="1"/>
  <c r="P156" i="9" s="1"/>
  <c r="P157" i="9" s="1"/>
  <c r="P158" i="9" s="1"/>
  <c r="P159" i="9" s="1"/>
  <c r="P160" i="9" s="1"/>
  <c r="P161" i="9" s="1"/>
  <c r="P162" i="9" s="1"/>
  <c r="P163" i="9" s="1"/>
  <c r="P164" i="9" s="1"/>
  <c r="P165" i="9" s="1"/>
  <c r="P166" i="9" s="1"/>
  <c r="P167" i="9" s="1"/>
  <c r="P168" i="9" s="1"/>
  <c r="P169" i="9" s="1"/>
  <c r="P170" i="9" s="1"/>
  <c r="P171" i="9" s="1"/>
  <c r="P172" i="9" s="1"/>
  <c r="P173" i="9" s="1"/>
  <c r="P174" i="9" s="1"/>
  <c r="P175" i="9" s="1"/>
  <c r="P176" i="9" s="1"/>
  <c r="P177" i="9" s="1"/>
  <c r="P178" i="9" s="1"/>
  <c r="P179" i="9" s="1"/>
  <c r="P180" i="9" s="1"/>
  <c r="P181" i="9" s="1"/>
  <c r="P182" i="9" s="1"/>
  <c r="P183" i="9" s="1"/>
  <c r="P184" i="9" s="1"/>
  <c r="P185" i="9" s="1"/>
  <c r="P186" i="9" s="1"/>
  <c r="P187" i="9" s="1"/>
  <c r="P188" i="9" s="1"/>
  <c r="P189" i="9" s="1"/>
  <c r="P190" i="9" s="1"/>
  <c r="P191" i="9" s="1"/>
  <c r="P192" i="9" s="1"/>
  <c r="P193" i="9" s="1"/>
  <c r="P194" i="9" s="1"/>
  <c r="P195" i="9" s="1"/>
  <c r="P196" i="9" s="1"/>
  <c r="P197" i="9" s="1"/>
  <c r="P198" i="9" s="1"/>
  <c r="P199" i="9" s="1"/>
  <c r="P200" i="9" s="1"/>
  <c r="P201" i="9" s="1"/>
  <c r="P202" i="9" s="1"/>
  <c r="P203" i="9" s="1"/>
  <c r="P204" i="9" s="1"/>
  <c r="P205" i="9" s="1"/>
  <c r="P206" i="9" s="1"/>
  <c r="P207" i="9" s="1"/>
  <c r="P208" i="9" s="1"/>
  <c r="P209" i="9" s="1"/>
  <c r="P210" i="9" s="1"/>
  <c r="P211" i="9" s="1"/>
  <c r="P212" i="9" s="1"/>
  <c r="P213" i="9" s="1"/>
  <c r="P214" i="9" s="1"/>
  <c r="P215" i="9" s="1"/>
  <c r="P216" i="9" s="1"/>
  <c r="P217" i="9" s="1"/>
  <c r="P218" i="9" s="1"/>
  <c r="P219" i="9" s="1"/>
  <c r="P220" i="9" s="1"/>
  <c r="P221" i="9" s="1"/>
  <c r="P222" i="9" s="1"/>
  <c r="P223" i="9" s="1"/>
  <c r="P224" i="9" s="1"/>
  <c r="P225" i="9" s="1"/>
  <c r="P226" i="9" s="1"/>
  <c r="P227" i="9" s="1"/>
  <c r="P228" i="9" s="1"/>
  <c r="P229" i="9" s="1"/>
  <c r="P230" i="9" s="1"/>
  <c r="P231" i="9" s="1"/>
  <c r="P232" i="9" s="1"/>
  <c r="P233" i="9" s="1"/>
  <c r="P234" i="9" s="1"/>
  <c r="P235" i="9" s="1"/>
  <c r="P236" i="9" s="1"/>
  <c r="P237" i="9" s="1"/>
  <c r="P238" i="9" s="1"/>
  <c r="P239" i="9" s="1"/>
  <c r="P240" i="9" s="1"/>
  <c r="P241" i="9" s="1"/>
  <c r="P242" i="9" s="1"/>
  <c r="P243" i="9" s="1"/>
  <c r="P244" i="9" s="1"/>
  <c r="P245" i="9" s="1"/>
  <c r="P246" i="9" s="1"/>
  <c r="P247" i="9" s="1"/>
  <c r="P248" i="9" s="1"/>
  <c r="P249" i="9" s="1"/>
  <c r="P250" i="9" s="1"/>
  <c r="P251" i="9" s="1"/>
  <c r="P252" i="9" s="1"/>
  <c r="P253" i="9" s="1"/>
  <c r="P254" i="9" s="1"/>
  <c r="P255" i="9" s="1"/>
  <c r="P256" i="9" s="1"/>
  <c r="P257" i="9" s="1"/>
  <c r="P258" i="9" s="1"/>
  <c r="P259" i="9" s="1"/>
  <c r="P260" i="9" s="1"/>
  <c r="P261" i="9" s="1"/>
  <c r="P262" i="9" s="1"/>
  <c r="P263" i="9" s="1"/>
  <c r="P264" i="9" s="1"/>
  <c r="P265" i="9" s="1"/>
  <c r="P266" i="9" s="1"/>
  <c r="P267" i="9" s="1"/>
  <c r="P268" i="9" s="1"/>
  <c r="P269" i="9" s="1"/>
  <c r="P270" i="9" s="1"/>
  <c r="P271" i="9" s="1"/>
  <c r="P272" i="9" s="1"/>
  <c r="P273" i="9" s="1"/>
  <c r="P274" i="9" s="1"/>
  <c r="P275" i="9" s="1"/>
  <c r="P276" i="9" s="1"/>
  <c r="P277" i="9" s="1"/>
  <c r="P278" i="9" s="1"/>
  <c r="P279" i="9" s="1"/>
  <c r="P280" i="9" s="1"/>
  <c r="P281" i="9" s="1"/>
  <c r="P282" i="9" s="1"/>
  <c r="P283" i="9" s="1"/>
  <c r="P284" i="9" s="1"/>
  <c r="P285" i="9" s="1"/>
  <c r="P286" i="9" s="1"/>
  <c r="P287" i="9" s="1"/>
  <c r="P288" i="9" s="1"/>
  <c r="P289" i="9" s="1"/>
  <c r="P290" i="9" s="1"/>
  <c r="P291" i="9" s="1"/>
  <c r="P292" i="9" s="1"/>
  <c r="P293" i="9" s="1"/>
  <c r="P294" i="9" s="1"/>
  <c r="P295" i="9" s="1"/>
  <c r="P296" i="9" s="1"/>
  <c r="P297" i="9" s="1"/>
  <c r="P298" i="9" s="1"/>
  <c r="P299" i="9" s="1"/>
  <c r="P300" i="9" s="1"/>
  <c r="P301" i="9" s="1"/>
  <c r="P302" i="9" s="1"/>
  <c r="P303" i="9" s="1"/>
  <c r="P304" i="9" s="1"/>
  <c r="P305" i="9" s="1"/>
  <c r="P306" i="9" s="1"/>
  <c r="P307" i="9" s="1"/>
  <c r="P308" i="9" s="1"/>
  <c r="P309" i="9" s="1"/>
  <c r="P310" i="9" s="1"/>
  <c r="P311" i="9" s="1"/>
  <c r="P312" i="9" s="1"/>
  <c r="P313" i="9" s="1"/>
  <c r="P314" i="9" s="1"/>
  <c r="P315" i="9" s="1"/>
  <c r="P316" i="9" s="1"/>
  <c r="P317" i="9" s="1"/>
  <c r="P318" i="9" s="1"/>
  <c r="P319" i="9" s="1"/>
  <c r="P320" i="9" s="1"/>
  <c r="P321" i="9" s="1"/>
  <c r="P322" i="9" s="1"/>
  <c r="P323" i="9" s="1"/>
  <c r="P324" i="9" s="1"/>
  <c r="P325" i="9" s="1"/>
  <c r="P326" i="9" s="1"/>
  <c r="P327" i="9" s="1"/>
  <c r="P328" i="9" s="1"/>
  <c r="P329" i="9" s="1"/>
  <c r="P330" i="9" s="1"/>
  <c r="P331" i="9" s="1"/>
  <c r="P332" i="9" s="1"/>
  <c r="P333" i="9" s="1"/>
  <c r="P334" i="9" s="1"/>
  <c r="P335" i="9" s="1"/>
  <c r="P336" i="9" s="1"/>
  <c r="P337" i="9" s="1"/>
  <c r="P338" i="9" s="1"/>
  <c r="P339" i="9" s="1"/>
  <c r="P340" i="9" s="1"/>
  <c r="P341" i="9" s="1"/>
  <c r="P342" i="9" s="1"/>
  <c r="P343" i="9" s="1"/>
  <c r="P344" i="9" s="1"/>
  <c r="P345" i="9" s="1"/>
  <c r="P346" i="9" s="1"/>
  <c r="P347" i="9" s="1"/>
  <c r="P348" i="9" s="1"/>
  <c r="P349" i="9" s="1"/>
  <c r="P350" i="9" s="1"/>
  <c r="P351" i="9" s="1"/>
  <c r="P352" i="9" s="1"/>
  <c r="P353" i="9" s="1"/>
  <c r="P354" i="9" s="1"/>
  <c r="P355" i="9" s="1"/>
  <c r="P356" i="9" s="1"/>
  <c r="P357" i="9" s="1"/>
  <c r="P358" i="9" s="1"/>
  <c r="P359" i="9" s="1"/>
  <c r="P360" i="9" s="1"/>
  <c r="P361" i="9" s="1"/>
  <c r="P362" i="9" s="1"/>
  <c r="P363" i="9" s="1"/>
  <c r="P364" i="9" s="1"/>
  <c r="P365" i="9" s="1"/>
  <c r="P366" i="9" s="1"/>
  <c r="P367" i="9" s="1"/>
  <c r="P368" i="9" s="1"/>
  <c r="P369" i="9" s="1"/>
  <c r="P370" i="9" s="1"/>
  <c r="P371" i="9" s="1"/>
  <c r="P372" i="9" s="1"/>
  <c r="P373" i="9" s="1"/>
  <c r="P374" i="9" s="1"/>
  <c r="P375" i="9" s="1"/>
  <c r="P376" i="9" s="1"/>
  <c r="P377" i="9" s="1"/>
  <c r="P378" i="9" s="1"/>
  <c r="P379" i="9" s="1"/>
  <c r="P380" i="9" s="1"/>
  <c r="P381" i="9" s="1"/>
  <c r="P382" i="9" s="1"/>
  <c r="P383" i="9" s="1"/>
  <c r="P384" i="9" s="1"/>
  <c r="P385" i="9" s="1"/>
  <c r="P386" i="9" s="1"/>
  <c r="P387" i="9" s="1"/>
  <c r="P388" i="9" s="1"/>
  <c r="P389" i="9" s="1"/>
  <c r="P390" i="9" s="1"/>
  <c r="P391" i="9" s="1"/>
  <c r="P392" i="9" s="1"/>
  <c r="P393" i="9" s="1"/>
  <c r="P394" i="9" s="1"/>
  <c r="P395" i="9" s="1"/>
  <c r="P396" i="9" s="1"/>
  <c r="P397" i="9" s="1"/>
  <c r="P398" i="9" s="1"/>
  <c r="P399" i="9" s="1"/>
  <c r="P400" i="9" s="1"/>
  <c r="P401" i="9" s="1"/>
  <c r="P402" i="9" s="1"/>
  <c r="P403" i="9" s="1"/>
  <c r="P404" i="9" s="1"/>
  <c r="P405" i="9" s="1"/>
  <c r="P406" i="9" s="1"/>
  <c r="P407" i="9" s="1"/>
  <c r="P408" i="9" s="1"/>
  <c r="P409" i="9" s="1"/>
  <c r="P410" i="9" s="1"/>
  <c r="P411" i="9" s="1"/>
  <c r="P412" i="9" s="1"/>
  <c r="P413" i="9" s="1"/>
  <c r="P414" i="9" s="1"/>
  <c r="P415" i="9" s="1"/>
  <c r="P416" i="9" s="1"/>
  <c r="P417" i="9" s="1"/>
  <c r="P418" i="9" s="1"/>
  <c r="P419" i="9" s="1"/>
  <c r="P420" i="9" s="1"/>
  <c r="P421" i="9" s="1"/>
  <c r="P422" i="9" s="1"/>
  <c r="P423" i="9" s="1"/>
  <c r="P424" i="9" s="1"/>
  <c r="P425" i="9" s="1"/>
  <c r="P426" i="9" s="1"/>
  <c r="P427" i="9" s="1"/>
  <c r="P428" i="9" s="1"/>
  <c r="P429" i="9" s="1"/>
  <c r="P430" i="9" s="1"/>
  <c r="P431" i="9" s="1"/>
  <c r="P432" i="9" s="1"/>
  <c r="P433" i="9" s="1"/>
  <c r="P434" i="9" s="1"/>
  <c r="P435" i="9" s="1"/>
  <c r="P436" i="9" s="1"/>
  <c r="P437" i="9" s="1"/>
  <c r="P438" i="9" s="1"/>
  <c r="P439" i="9" s="1"/>
  <c r="P440" i="9" s="1"/>
  <c r="P441" i="9" s="1"/>
  <c r="P442" i="9" s="1"/>
  <c r="P443" i="9" s="1"/>
  <c r="P444" i="9" s="1"/>
  <c r="P445" i="9" s="1"/>
  <c r="P446" i="9" s="1"/>
  <c r="P447" i="9" s="1"/>
  <c r="P448" i="9" s="1"/>
  <c r="P449" i="9" s="1"/>
  <c r="P450" i="9" s="1"/>
  <c r="P451" i="9" s="1"/>
  <c r="P452" i="9" s="1"/>
  <c r="P453" i="9" s="1"/>
  <c r="P454" i="9" s="1"/>
  <c r="P455" i="9" s="1"/>
  <c r="P456" i="9" s="1"/>
  <c r="P457" i="9" s="1"/>
  <c r="P458" i="9" s="1"/>
  <c r="P459" i="9" s="1"/>
  <c r="P460" i="9" s="1"/>
  <c r="P461" i="9" s="1"/>
  <c r="P462" i="9" s="1"/>
  <c r="P463" i="9" s="1"/>
  <c r="P464" i="9" s="1"/>
  <c r="P465" i="9" s="1"/>
  <c r="P466" i="9" s="1"/>
  <c r="P467" i="9" s="1"/>
  <c r="P468" i="9" s="1"/>
  <c r="P469" i="9" s="1"/>
  <c r="P470" i="9" s="1"/>
  <c r="P471" i="9" s="1"/>
  <c r="P472" i="9" s="1"/>
  <c r="P473" i="9" s="1"/>
  <c r="P474" i="9" s="1"/>
  <c r="P475" i="9" s="1"/>
  <c r="P476" i="9" s="1"/>
  <c r="P477" i="9" s="1"/>
  <c r="P478" i="9" s="1"/>
  <c r="P479" i="9" s="1"/>
  <c r="P480" i="9" s="1"/>
  <c r="P481" i="9" s="1"/>
  <c r="P482" i="9" s="1"/>
  <c r="P483" i="9" s="1"/>
  <c r="P484" i="9" s="1"/>
  <c r="P485" i="9" s="1"/>
  <c r="P486" i="9" s="1"/>
  <c r="P487" i="9" s="1"/>
  <c r="P488" i="9" s="1"/>
  <c r="P489" i="9" s="1"/>
  <c r="P490" i="9" s="1"/>
  <c r="P491" i="9" s="1"/>
  <c r="P492" i="9" s="1"/>
  <c r="P493" i="9" s="1"/>
  <c r="P494" i="9" s="1"/>
  <c r="P495" i="9" s="1"/>
  <c r="P496" i="9" s="1"/>
  <c r="P497" i="9" s="1"/>
  <c r="P498" i="9" s="1"/>
  <c r="P499" i="9" s="1"/>
  <c r="P500" i="9" s="1"/>
  <c r="P501" i="9" s="1"/>
  <c r="P502" i="9" s="1"/>
  <c r="P503" i="9" s="1"/>
  <c r="P504" i="9" s="1"/>
  <c r="P505" i="9" s="1"/>
  <c r="P506" i="9" s="1"/>
  <c r="P507" i="9" s="1"/>
  <c r="P508" i="9" s="1"/>
  <c r="P509" i="9" s="1"/>
  <c r="P510" i="9" s="1"/>
  <c r="P511" i="9" s="1"/>
  <c r="P512" i="9" s="1"/>
  <c r="P513" i="9" s="1"/>
  <c r="P514" i="9" s="1"/>
  <c r="P515" i="9" s="1"/>
  <c r="P516" i="9" s="1"/>
  <c r="P517" i="9" s="1"/>
  <c r="P518" i="9" s="1"/>
  <c r="P519" i="9" s="1"/>
  <c r="P520" i="9" s="1"/>
  <c r="P521" i="9" s="1"/>
  <c r="P522" i="9" s="1"/>
  <c r="P523" i="9" s="1"/>
  <c r="P524" i="9" s="1"/>
  <c r="P525" i="9" s="1"/>
  <c r="P526" i="9" s="1"/>
  <c r="P527" i="9" s="1"/>
  <c r="P528" i="9" s="1"/>
  <c r="P529" i="9" s="1"/>
  <c r="P530" i="9" s="1"/>
  <c r="P531" i="9" s="1"/>
  <c r="P532" i="9" s="1"/>
  <c r="P533" i="9" s="1"/>
  <c r="P534" i="9" s="1"/>
  <c r="P535" i="9" s="1"/>
  <c r="P536" i="9" s="1"/>
  <c r="P537" i="9" s="1"/>
  <c r="P538" i="9" s="1"/>
  <c r="P539" i="9" s="1"/>
  <c r="P540" i="9" s="1"/>
  <c r="P541" i="9" s="1"/>
  <c r="P542" i="9" s="1"/>
  <c r="P543" i="9" s="1"/>
  <c r="P544" i="9" s="1"/>
  <c r="P545" i="9" s="1"/>
  <c r="P546" i="9" s="1"/>
  <c r="P547" i="9" s="1"/>
  <c r="P548" i="9" s="1"/>
  <c r="P549" i="9" s="1"/>
  <c r="P550" i="9" s="1"/>
  <c r="P551" i="9" s="1"/>
  <c r="P552" i="9" s="1"/>
  <c r="P553" i="9" s="1"/>
  <c r="P554" i="9" s="1"/>
  <c r="P555" i="9" s="1"/>
  <c r="P556" i="9" s="1"/>
  <c r="P557" i="9" s="1"/>
  <c r="P558" i="9" s="1"/>
  <c r="P559" i="9" s="1"/>
  <c r="P560" i="9" s="1"/>
  <c r="P561" i="9" s="1"/>
  <c r="P562" i="9" s="1"/>
  <c r="P563" i="9" s="1"/>
  <c r="P564" i="9" s="1"/>
  <c r="P565" i="9" s="1"/>
  <c r="P566" i="9" s="1"/>
  <c r="P567" i="9" s="1"/>
  <c r="P568" i="9" s="1"/>
  <c r="P569" i="9" s="1"/>
  <c r="P570" i="9" s="1"/>
  <c r="P571" i="9" s="1"/>
  <c r="P572" i="9" s="1"/>
  <c r="P573" i="9" s="1"/>
  <c r="P574" i="9" s="1"/>
  <c r="P575" i="9" s="1"/>
  <c r="P576" i="9" s="1"/>
  <c r="P577" i="9" s="1"/>
  <c r="P578" i="9" s="1"/>
  <c r="P579" i="9" s="1"/>
  <c r="P580" i="9" s="1"/>
  <c r="P581" i="9" s="1"/>
  <c r="P582" i="9" s="1"/>
  <c r="P583" i="9" s="1"/>
  <c r="P584" i="9" s="1"/>
  <c r="P585" i="9" s="1"/>
  <c r="P586" i="9" s="1"/>
  <c r="P587" i="9" s="1"/>
  <c r="P588" i="9" s="1"/>
  <c r="P589" i="9" s="1"/>
  <c r="P590" i="9" s="1"/>
  <c r="P591" i="9" s="1"/>
  <c r="P592" i="9" s="1"/>
  <c r="P593" i="9" s="1"/>
  <c r="P594" i="9" s="1"/>
  <c r="P595" i="9" s="1"/>
  <c r="P596" i="9" s="1"/>
  <c r="P597" i="9" s="1"/>
  <c r="P598" i="9" s="1"/>
  <c r="P599" i="9" s="1"/>
  <c r="P600" i="9" s="1"/>
  <c r="P601" i="9" s="1"/>
  <c r="P602" i="9" s="1"/>
  <c r="P603" i="9" s="1"/>
  <c r="P604" i="9" s="1"/>
  <c r="P605" i="9" s="1"/>
  <c r="P606" i="9" s="1"/>
  <c r="P607" i="9" s="1"/>
  <c r="P608" i="9" s="1"/>
  <c r="P609" i="9" s="1"/>
  <c r="P610" i="9" s="1"/>
  <c r="P611" i="9" s="1"/>
  <c r="P612" i="9" s="1"/>
  <c r="P613" i="9" s="1"/>
  <c r="P614" i="9" s="1"/>
  <c r="P615" i="9" s="1"/>
  <c r="P616" i="9" s="1"/>
  <c r="P617" i="9" s="1"/>
  <c r="P618" i="9" s="1"/>
  <c r="P619" i="9" s="1"/>
  <c r="P620" i="9" s="1"/>
  <c r="P621" i="9" s="1"/>
  <c r="P622" i="9" s="1"/>
  <c r="P623" i="9" s="1"/>
  <c r="P624" i="9" s="1"/>
  <c r="P625" i="9" s="1"/>
  <c r="P626" i="9" s="1"/>
  <c r="P627" i="9" s="1"/>
  <c r="P628" i="9" s="1"/>
  <c r="P629" i="9" s="1"/>
  <c r="P630" i="9" s="1"/>
  <c r="P631" i="9" s="1"/>
  <c r="P632" i="9" s="1"/>
  <c r="P633" i="9" s="1"/>
  <c r="P634" i="9" s="1"/>
  <c r="P635" i="9" s="1"/>
  <c r="P636" i="9" s="1"/>
  <c r="P637" i="9" s="1"/>
  <c r="P638" i="9" s="1"/>
  <c r="P639" i="9" s="1"/>
  <c r="P640" i="9" s="1"/>
  <c r="P641" i="9" s="1"/>
  <c r="P642" i="9" s="1"/>
  <c r="P643" i="9" s="1"/>
  <c r="P644" i="9" s="1"/>
  <c r="P645" i="9" s="1"/>
  <c r="P646" i="9" s="1"/>
  <c r="P647" i="9" s="1"/>
  <c r="P648" i="9" s="1"/>
  <c r="P649" i="9" s="1"/>
  <c r="P650" i="9" s="1"/>
  <c r="P651" i="9" s="1"/>
  <c r="P652" i="9" s="1"/>
  <c r="P653" i="9" s="1"/>
  <c r="P654" i="9" s="1"/>
  <c r="P655" i="9" s="1"/>
  <c r="P656" i="9" s="1"/>
  <c r="P657" i="9" s="1"/>
  <c r="P658" i="9" s="1"/>
  <c r="P659" i="9" s="1"/>
  <c r="P660" i="9" s="1"/>
  <c r="P661" i="9" s="1"/>
  <c r="P662" i="9" s="1"/>
  <c r="P663" i="9" s="1"/>
  <c r="P664" i="9" s="1"/>
  <c r="P665" i="9" s="1"/>
  <c r="P666" i="9" s="1"/>
  <c r="P667" i="9" s="1"/>
  <c r="P668" i="9" s="1"/>
  <c r="P669" i="9" s="1"/>
  <c r="P670" i="9" s="1"/>
  <c r="P671" i="9" s="1"/>
  <c r="P672" i="9" s="1"/>
  <c r="P673" i="9" s="1"/>
  <c r="P674" i="9" s="1"/>
  <c r="P675" i="9" s="1"/>
  <c r="P676" i="9" s="1"/>
  <c r="P677" i="9" s="1"/>
  <c r="P678" i="9" s="1"/>
  <c r="P679" i="9" s="1"/>
  <c r="P680" i="9" s="1"/>
  <c r="P681" i="9" s="1"/>
  <c r="P682" i="9" s="1"/>
  <c r="P683" i="9" s="1"/>
  <c r="P684" i="9" s="1"/>
  <c r="P685" i="9" s="1"/>
  <c r="P686" i="9" s="1"/>
  <c r="P687" i="9" s="1"/>
  <c r="P688" i="9" s="1"/>
  <c r="P689" i="9" s="1"/>
  <c r="P690" i="9" s="1"/>
  <c r="P691" i="9" s="1"/>
  <c r="P692" i="9" s="1"/>
  <c r="P693" i="9" s="1"/>
  <c r="P694" i="9" s="1"/>
  <c r="P695" i="9" s="1"/>
  <c r="P696" i="9" s="1"/>
  <c r="P697" i="9" s="1"/>
  <c r="P698" i="9" s="1"/>
  <c r="P699" i="9" s="1"/>
  <c r="P700" i="9" s="1"/>
  <c r="P701" i="9" s="1"/>
  <c r="P702" i="9" s="1"/>
  <c r="P703" i="9" s="1"/>
  <c r="P704" i="9" s="1"/>
  <c r="P705" i="9" s="1"/>
  <c r="P706" i="9" s="1"/>
  <c r="P707" i="9" s="1"/>
  <c r="P708" i="9" s="1"/>
  <c r="P709" i="9" s="1"/>
  <c r="P710" i="9" s="1"/>
  <c r="P711" i="9" s="1"/>
  <c r="P712" i="9" s="1"/>
  <c r="P713" i="9" s="1"/>
  <c r="P714" i="9" s="1"/>
  <c r="P715" i="9" s="1"/>
  <c r="P716" i="9" s="1"/>
  <c r="P717" i="9" s="1"/>
  <c r="P718" i="9" s="1"/>
  <c r="P719" i="9" s="1"/>
  <c r="P720" i="9" s="1"/>
  <c r="P721" i="9" s="1"/>
  <c r="P722" i="9" s="1"/>
  <c r="P723" i="9" s="1"/>
  <c r="P724" i="9" s="1"/>
  <c r="P725" i="9" s="1"/>
  <c r="P726" i="9" s="1"/>
  <c r="P727" i="9" s="1"/>
  <c r="P728" i="9" s="1"/>
  <c r="P729" i="9" s="1"/>
  <c r="P730" i="9" s="1"/>
  <c r="P731" i="9" s="1"/>
  <c r="P732" i="9" s="1"/>
  <c r="P733" i="9" s="1"/>
  <c r="P734" i="9" s="1"/>
  <c r="P735" i="9" s="1"/>
  <c r="P736" i="9" s="1"/>
  <c r="P737" i="9" s="1"/>
  <c r="P738" i="9" s="1"/>
  <c r="P739" i="9" s="1"/>
  <c r="P740" i="9" s="1"/>
  <c r="P741" i="9" s="1"/>
  <c r="P742" i="9" s="1"/>
  <c r="P743" i="9" s="1"/>
  <c r="P744" i="9" s="1"/>
  <c r="P745" i="9" s="1"/>
  <c r="P746" i="9" s="1"/>
  <c r="P747" i="9" s="1"/>
  <c r="P748" i="9" s="1"/>
  <c r="P749" i="9" s="1"/>
  <c r="P750" i="9" s="1"/>
  <c r="P751" i="9" s="1"/>
  <c r="P752" i="9" s="1"/>
  <c r="P753" i="9" s="1"/>
  <c r="P754" i="9" s="1"/>
  <c r="P755" i="9" s="1"/>
  <c r="P756" i="9" s="1"/>
  <c r="P757" i="9" s="1"/>
  <c r="P758" i="9" s="1"/>
  <c r="P759" i="9" s="1"/>
  <c r="P760" i="9" s="1"/>
  <c r="P761" i="9" s="1"/>
  <c r="P762" i="9" s="1"/>
  <c r="P763" i="9" s="1"/>
  <c r="P764" i="9" s="1"/>
  <c r="P765" i="9" s="1"/>
  <c r="P766" i="9" s="1"/>
  <c r="P767" i="9" s="1"/>
  <c r="P768" i="9" s="1"/>
  <c r="P769" i="9" s="1"/>
  <c r="P770" i="9" s="1"/>
  <c r="P771" i="9" s="1"/>
  <c r="P772" i="9" s="1"/>
  <c r="P773" i="9" s="1"/>
  <c r="P774" i="9" s="1"/>
  <c r="P775" i="9" s="1"/>
  <c r="P776" i="9" s="1"/>
  <c r="P777" i="9" s="1"/>
  <c r="P778" i="9" s="1"/>
  <c r="P779" i="9" s="1"/>
  <c r="P780" i="9" s="1"/>
  <c r="P781" i="9" s="1"/>
  <c r="P782" i="9" s="1"/>
  <c r="P783" i="9" s="1"/>
  <c r="P784" i="9" s="1"/>
  <c r="P785" i="9" s="1"/>
  <c r="P786" i="9" s="1"/>
  <c r="P787" i="9" s="1"/>
  <c r="P788" i="9" s="1"/>
  <c r="P789" i="9" s="1"/>
  <c r="P790" i="9" s="1"/>
  <c r="P791" i="9" s="1"/>
  <c r="P792" i="9" s="1"/>
  <c r="P793" i="9" s="1"/>
  <c r="P794" i="9" s="1"/>
  <c r="P795" i="9" s="1"/>
  <c r="P796" i="9" s="1"/>
  <c r="P797" i="9" s="1"/>
  <c r="P798" i="9" s="1"/>
  <c r="P799" i="9" s="1"/>
  <c r="P800" i="9" s="1"/>
  <c r="P801" i="9" s="1"/>
  <c r="P802" i="9" s="1"/>
  <c r="P803" i="9" s="1"/>
  <c r="P804" i="9" s="1"/>
  <c r="P805" i="9" s="1"/>
  <c r="P806" i="9" s="1"/>
  <c r="P807" i="9" s="1"/>
  <c r="P808" i="9" s="1"/>
  <c r="P809" i="9" s="1"/>
  <c r="P810" i="9" s="1"/>
  <c r="P811" i="9" s="1"/>
  <c r="P812" i="9" s="1"/>
  <c r="P813" i="9" s="1"/>
  <c r="P814" i="9" s="1"/>
  <c r="P815" i="9" s="1"/>
  <c r="P816" i="9" s="1"/>
  <c r="P817" i="9" s="1"/>
  <c r="P818" i="9" s="1"/>
  <c r="P819" i="9" s="1"/>
  <c r="P820" i="9" s="1"/>
  <c r="P821" i="9" s="1"/>
  <c r="P822" i="9" s="1"/>
  <c r="P823" i="9" s="1"/>
  <c r="P824" i="9" s="1"/>
  <c r="P825" i="9" s="1"/>
  <c r="P826" i="9" s="1"/>
  <c r="P827" i="9" s="1"/>
  <c r="P828" i="9" s="1"/>
  <c r="P829" i="9" s="1"/>
  <c r="P830" i="9" s="1"/>
  <c r="P831" i="9" s="1"/>
  <c r="P832" i="9" s="1"/>
  <c r="P833" i="9" s="1"/>
  <c r="P834" i="9" s="1"/>
  <c r="P835" i="9" s="1"/>
  <c r="P836" i="9" s="1"/>
  <c r="P837" i="9" s="1"/>
  <c r="P838" i="9" s="1"/>
  <c r="P839" i="9" s="1"/>
  <c r="P840" i="9" s="1"/>
  <c r="P841" i="9" s="1"/>
  <c r="P842" i="9" s="1"/>
  <c r="P843" i="9" s="1"/>
  <c r="P844" i="9" s="1"/>
  <c r="P845" i="9" s="1"/>
  <c r="P846" i="9" s="1"/>
  <c r="P847" i="9" s="1"/>
  <c r="P848" i="9" s="1"/>
  <c r="P849" i="9" s="1"/>
  <c r="P850" i="9" s="1"/>
  <c r="P851" i="9" s="1"/>
  <c r="P852" i="9" s="1"/>
  <c r="P853" i="9" s="1"/>
  <c r="P854" i="9" s="1"/>
  <c r="P855" i="9" s="1"/>
  <c r="P856" i="9" s="1"/>
  <c r="P857" i="9" s="1"/>
  <c r="P858" i="9" s="1"/>
  <c r="P859" i="9" s="1"/>
  <c r="P860" i="9" s="1"/>
  <c r="P861" i="9" s="1"/>
  <c r="P862" i="9" s="1"/>
  <c r="P863" i="9" s="1"/>
  <c r="P864" i="9" s="1"/>
  <c r="P865" i="9" s="1"/>
  <c r="P866" i="9" s="1"/>
  <c r="P867" i="9" s="1"/>
  <c r="P868" i="9" s="1"/>
  <c r="P869" i="9" s="1"/>
  <c r="P870" i="9" s="1"/>
  <c r="P871" i="9" s="1"/>
  <c r="P872" i="9" s="1"/>
  <c r="P873" i="9" s="1"/>
  <c r="P874" i="9" s="1"/>
  <c r="P875" i="9" s="1"/>
  <c r="P876" i="9" s="1"/>
  <c r="P877" i="9" s="1"/>
  <c r="P878" i="9" s="1"/>
  <c r="P879" i="9" s="1"/>
  <c r="P880" i="9" s="1"/>
  <c r="P881" i="9" s="1"/>
  <c r="P882" i="9" s="1"/>
  <c r="P883" i="9" s="1"/>
  <c r="P884" i="9" s="1"/>
  <c r="P885" i="9" s="1"/>
  <c r="P886" i="9" s="1"/>
  <c r="P887" i="9" s="1"/>
  <c r="P888" i="9" s="1"/>
  <c r="P889" i="9" s="1"/>
  <c r="P890" i="9" s="1"/>
  <c r="P891" i="9" s="1"/>
  <c r="P892" i="9" s="1"/>
  <c r="P893" i="9" s="1"/>
  <c r="P894" i="9" s="1"/>
  <c r="P895" i="9" s="1"/>
  <c r="P896" i="9" s="1"/>
  <c r="P897" i="9" s="1"/>
  <c r="P898" i="9" s="1"/>
  <c r="P899" i="9" s="1"/>
  <c r="P900" i="9" s="1"/>
  <c r="P901" i="9" s="1"/>
  <c r="P902" i="9" s="1"/>
  <c r="P903" i="9" s="1"/>
  <c r="P904" i="9" s="1"/>
  <c r="P905" i="9" s="1"/>
  <c r="P906" i="9" s="1"/>
  <c r="P907" i="9" s="1"/>
  <c r="P908" i="9" s="1"/>
  <c r="P909" i="9" s="1"/>
  <c r="P910" i="9" s="1"/>
  <c r="P911" i="9" s="1"/>
  <c r="P912" i="9" s="1"/>
  <c r="P913" i="9" s="1"/>
  <c r="P914" i="9" s="1"/>
  <c r="P915" i="9" s="1"/>
  <c r="P916" i="9" s="1"/>
  <c r="P917" i="9" s="1"/>
  <c r="P918" i="9" s="1"/>
  <c r="P919" i="9" s="1"/>
  <c r="P920" i="9" s="1"/>
  <c r="P921" i="9" s="1"/>
  <c r="P922" i="9" s="1"/>
  <c r="P923" i="9" s="1"/>
  <c r="P924" i="9" s="1"/>
  <c r="P925" i="9" s="1"/>
  <c r="P926" i="9" s="1"/>
  <c r="P927" i="9" s="1"/>
  <c r="P928" i="9" s="1"/>
  <c r="P929" i="9" s="1"/>
  <c r="P930" i="9" s="1"/>
  <c r="P931" i="9" s="1"/>
  <c r="P932" i="9" s="1"/>
  <c r="P933" i="9" s="1"/>
  <c r="P934" i="9" s="1"/>
  <c r="P935" i="9" s="1"/>
  <c r="P936" i="9" s="1"/>
  <c r="P937" i="9" s="1"/>
  <c r="P938" i="9" s="1"/>
  <c r="P939" i="9" s="1"/>
  <c r="P940" i="9" s="1"/>
  <c r="P941" i="9" s="1"/>
  <c r="P942" i="9" s="1"/>
  <c r="P943" i="9" s="1"/>
  <c r="P944" i="9" s="1"/>
  <c r="P945" i="9" s="1"/>
  <c r="P946" i="9" s="1"/>
  <c r="P947" i="9" s="1"/>
  <c r="P948" i="9" s="1"/>
  <c r="P949" i="9" s="1"/>
  <c r="P950" i="9" s="1"/>
  <c r="P951" i="9" s="1"/>
  <c r="P952" i="9" s="1"/>
  <c r="P953" i="9" s="1"/>
  <c r="P954" i="9" s="1"/>
  <c r="P955" i="9" s="1"/>
  <c r="P956" i="9" s="1"/>
  <c r="P957" i="9" s="1"/>
  <c r="P958" i="9" s="1"/>
  <c r="P959" i="9" s="1"/>
  <c r="P960" i="9" s="1"/>
  <c r="P961" i="9" s="1"/>
  <c r="P962" i="9" s="1"/>
  <c r="P963" i="9" s="1"/>
  <c r="P964" i="9" s="1"/>
  <c r="P965" i="9" s="1"/>
  <c r="P966" i="9" s="1"/>
  <c r="P967" i="9" s="1"/>
  <c r="P968" i="9" s="1"/>
  <c r="P969" i="9" s="1"/>
  <c r="P970" i="9" s="1"/>
  <c r="P971" i="9" s="1"/>
  <c r="P972" i="9" s="1"/>
  <c r="P973" i="9" s="1"/>
  <c r="P974" i="9" s="1"/>
  <c r="P975" i="9" s="1"/>
  <c r="P976" i="9" s="1"/>
  <c r="P977" i="9" s="1"/>
  <c r="P978" i="9" s="1"/>
  <c r="P979" i="9" s="1"/>
  <c r="P980" i="9" s="1"/>
  <c r="P981" i="9" s="1"/>
  <c r="P982" i="9" s="1"/>
  <c r="P983" i="9" s="1"/>
  <c r="P984" i="9" s="1"/>
  <c r="P985" i="9" s="1"/>
  <c r="P986" i="9" s="1"/>
  <c r="P987" i="9" s="1"/>
  <c r="P988" i="9" s="1"/>
  <c r="P989" i="9" s="1"/>
  <c r="P990" i="9" s="1"/>
  <c r="P991" i="9" s="1"/>
  <c r="P992" i="9" s="1"/>
  <c r="P993" i="9" s="1"/>
  <c r="P994" i="9" s="1"/>
  <c r="P995" i="9" s="1"/>
  <c r="P996" i="9" s="1"/>
  <c r="P997" i="9" s="1"/>
  <c r="P998" i="9" s="1"/>
  <c r="P999" i="9" s="1"/>
  <c r="P1000" i="9" s="1"/>
  <c r="P1001" i="9" s="1"/>
  <c r="P1002" i="9" s="1"/>
  <c r="P1003" i="9" s="1"/>
  <c r="P1004" i="9" s="1"/>
  <c r="P1005" i="9" s="1"/>
  <c r="P1006" i="9" s="1"/>
  <c r="P1007" i="9" s="1"/>
  <c r="P1008" i="9" s="1"/>
  <c r="P1009" i="9" s="1"/>
  <c r="P1010" i="9" s="1"/>
  <c r="P1011" i="9" s="1"/>
  <c r="P1012" i="9" s="1"/>
  <c r="P1013" i="9" s="1"/>
  <c r="P1014" i="9" s="1"/>
  <c r="P1015" i="9" s="1"/>
  <c r="P1016" i="9" s="1"/>
  <c r="P1017" i="9" s="1"/>
  <c r="P1018" i="9" s="1"/>
  <c r="P1019" i="9" s="1"/>
  <c r="P1020" i="9" s="1"/>
  <c r="P1021" i="9" s="1"/>
  <c r="P1022" i="9" s="1"/>
  <c r="P1023" i="9" s="1"/>
  <c r="P1024" i="9" s="1"/>
  <c r="P1025" i="9" s="1"/>
  <c r="P1026" i="9" s="1"/>
  <c r="P1027" i="9" s="1"/>
  <c r="P1028" i="9" s="1"/>
  <c r="P1029" i="9" s="1"/>
  <c r="P1030" i="9" s="1"/>
  <c r="P1031" i="9" s="1"/>
  <c r="P1032" i="9" s="1"/>
  <c r="P1033" i="9" s="1"/>
  <c r="P1034" i="9" s="1"/>
  <c r="P1035" i="9" s="1"/>
  <c r="P1036" i="9" s="1"/>
  <c r="P1037" i="9" s="1"/>
  <c r="P1038" i="9" s="1"/>
  <c r="P1039" i="9" s="1"/>
  <c r="P1040" i="9" s="1"/>
  <c r="P1041" i="9" s="1"/>
  <c r="P1042" i="9" s="1"/>
  <c r="P1043" i="9" s="1"/>
  <c r="P1044" i="9" s="1"/>
  <c r="P1045" i="9" s="1"/>
  <c r="P1046" i="9" s="1"/>
  <c r="P1047" i="9" s="1"/>
  <c r="P1048" i="9" s="1"/>
  <c r="P1049" i="9" s="1"/>
  <c r="P1050" i="9" s="1"/>
  <c r="P1051" i="9" s="1"/>
  <c r="P1052" i="9" s="1"/>
  <c r="P1053" i="9" s="1"/>
  <c r="P1054" i="9" s="1"/>
  <c r="P1055" i="9" s="1"/>
  <c r="P1056" i="9" s="1"/>
  <c r="P1057" i="9" s="1"/>
  <c r="P1058" i="9" s="1"/>
  <c r="P1059" i="9" s="1"/>
  <c r="P1060" i="9" s="1"/>
  <c r="P1061" i="9" s="1"/>
  <c r="P1062" i="9" s="1"/>
  <c r="P1063" i="9" s="1"/>
  <c r="P1064" i="9" s="1"/>
  <c r="P1065" i="9" s="1"/>
  <c r="P1066" i="9" s="1"/>
  <c r="P1067" i="9" s="1"/>
  <c r="P1068" i="9" s="1"/>
  <c r="P1069" i="9" s="1"/>
  <c r="P1070" i="9" s="1"/>
  <c r="P1071" i="9" s="1"/>
  <c r="P1072" i="9" s="1"/>
  <c r="P1073" i="9" s="1"/>
  <c r="P1074" i="9" s="1"/>
  <c r="P1075" i="9" s="1"/>
  <c r="P1076" i="9" s="1"/>
  <c r="P1077" i="9" s="1"/>
  <c r="P1078" i="9" s="1"/>
  <c r="P1079" i="9" s="1"/>
  <c r="P1080" i="9" s="1"/>
  <c r="P1081" i="9" s="1"/>
  <c r="P1082" i="9" s="1"/>
  <c r="P1083" i="9" s="1"/>
  <c r="P1084" i="9" s="1"/>
  <c r="P1085" i="9" s="1"/>
  <c r="P1086" i="9" s="1"/>
  <c r="P1087" i="9" s="1"/>
  <c r="P1088" i="9" s="1"/>
  <c r="P1089" i="9" s="1"/>
  <c r="P1090" i="9" s="1"/>
  <c r="P1091" i="9" s="1"/>
  <c r="P1092" i="9" s="1"/>
  <c r="P1093" i="9" s="1"/>
  <c r="P1094" i="9" s="1"/>
  <c r="P1095" i="9" s="1"/>
  <c r="P1096" i="9" s="1"/>
  <c r="P1097" i="9" s="1"/>
  <c r="P1098" i="9" s="1"/>
  <c r="P1099" i="9" s="1"/>
  <c r="P1100" i="9" s="1"/>
  <c r="P1101" i="9" s="1"/>
  <c r="P1102" i="9" s="1"/>
  <c r="P1103" i="9" s="1"/>
  <c r="P1104" i="9" s="1"/>
  <c r="P1105" i="9" s="1"/>
  <c r="P1106" i="9" s="1"/>
  <c r="P1107" i="9" s="1"/>
  <c r="P1108" i="9" s="1"/>
  <c r="P1109" i="9" s="1"/>
  <c r="P1110" i="9" s="1"/>
  <c r="P1111" i="9" s="1"/>
  <c r="P1112" i="9" s="1"/>
  <c r="P1113" i="9" s="1"/>
  <c r="P1114" i="9" s="1"/>
  <c r="P1115" i="9" s="1"/>
  <c r="P1116" i="9" s="1"/>
  <c r="P1117" i="9" s="1"/>
  <c r="P1118" i="9" s="1"/>
  <c r="P1119" i="9" s="1"/>
  <c r="P1120" i="9" s="1"/>
  <c r="P1121" i="9" s="1"/>
  <c r="P1122" i="9" s="1"/>
  <c r="P1123" i="9" s="1"/>
  <c r="P1124" i="9" s="1"/>
  <c r="P1125" i="9" s="1"/>
  <c r="P1126" i="9" s="1"/>
  <c r="P1127" i="9" s="1"/>
  <c r="P1128" i="9" s="1"/>
  <c r="P1129" i="9" s="1"/>
  <c r="P1130" i="9" s="1"/>
  <c r="P1131" i="9" s="1"/>
  <c r="P1132" i="9" s="1"/>
  <c r="P1133" i="9" s="1"/>
  <c r="P1134" i="9" s="1"/>
  <c r="P1135" i="9" s="1"/>
  <c r="P1136" i="9" s="1"/>
  <c r="P1137" i="9" s="1"/>
  <c r="P1138" i="9" s="1"/>
  <c r="P1139" i="9" s="1"/>
  <c r="P1140" i="9" s="1"/>
  <c r="P1141" i="9" s="1"/>
  <c r="P1142" i="9" s="1"/>
  <c r="P1143" i="9" s="1"/>
  <c r="P1144" i="9" s="1"/>
  <c r="P1145" i="9" s="1"/>
  <c r="P1146" i="9" s="1"/>
  <c r="P1147" i="9" s="1"/>
  <c r="P1148" i="9" s="1"/>
  <c r="P1149" i="9" s="1"/>
  <c r="P1150" i="9" s="1"/>
  <c r="P1151" i="9" s="1"/>
  <c r="P1152" i="9" s="1"/>
  <c r="P1153" i="9" s="1"/>
  <c r="P1154" i="9" s="1"/>
  <c r="P1155" i="9" s="1"/>
  <c r="P1156" i="9" s="1"/>
  <c r="P1157" i="9" s="1"/>
  <c r="P1158" i="9" s="1"/>
  <c r="P1159" i="9" s="1"/>
  <c r="P1160" i="9" s="1"/>
  <c r="P1161" i="9" s="1"/>
  <c r="P1162" i="9" s="1"/>
  <c r="P1163" i="9" s="1"/>
  <c r="P1164" i="9" s="1"/>
  <c r="P1165" i="9" s="1"/>
  <c r="P1166" i="9" s="1"/>
  <c r="P1167" i="9" s="1"/>
  <c r="P1168" i="9" s="1"/>
  <c r="P1169" i="9" s="1"/>
  <c r="P1170" i="9" s="1"/>
  <c r="P1171" i="9" s="1"/>
  <c r="P1172" i="9" s="1"/>
  <c r="P1173" i="9" s="1"/>
  <c r="P1174" i="9" s="1"/>
  <c r="P1175" i="9" s="1"/>
  <c r="P1176" i="9" s="1"/>
  <c r="P1177" i="9" s="1"/>
  <c r="P1178" i="9" s="1"/>
  <c r="P1179" i="9" s="1"/>
  <c r="P1180" i="9" s="1"/>
  <c r="P1181" i="9" s="1"/>
  <c r="P1182" i="9" s="1"/>
  <c r="P1183" i="9" s="1"/>
  <c r="P1184" i="9" s="1"/>
  <c r="P1185" i="9" s="1"/>
  <c r="P1186" i="9" s="1"/>
  <c r="P1187" i="9" s="1"/>
  <c r="P1188" i="9" s="1"/>
  <c r="P1189" i="9" s="1"/>
  <c r="P1190" i="9" s="1"/>
  <c r="P1191" i="9" s="1"/>
  <c r="P1192" i="9" s="1"/>
  <c r="P1193" i="9" s="1"/>
  <c r="P1194" i="9" s="1"/>
  <c r="P1195" i="9" s="1"/>
  <c r="P1196" i="9" s="1"/>
  <c r="P1197" i="9" s="1"/>
  <c r="P1198" i="9" s="1"/>
  <c r="P1199" i="9" s="1"/>
  <c r="P1200" i="9" s="1"/>
  <c r="P1201" i="9" s="1"/>
  <c r="P1202" i="9" s="1"/>
  <c r="P1203" i="9" s="1"/>
  <c r="P1204" i="9" s="1"/>
  <c r="P1205" i="9" s="1"/>
  <c r="P1206" i="9" s="1"/>
  <c r="P1207" i="9" s="1"/>
  <c r="P1208" i="9" s="1"/>
  <c r="P1209" i="9" s="1"/>
  <c r="P1210" i="9" s="1"/>
  <c r="P1211" i="9" s="1"/>
  <c r="P1212" i="9" s="1"/>
  <c r="P1213" i="9" s="1"/>
  <c r="P1214" i="9" s="1"/>
  <c r="P1215" i="9" s="1"/>
  <c r="P1216" i="9" s="1"/>
  <c r="P1217" i="9" s="1"/>
  <c r="P1218" i="9" s="1"/>
  <c r="P1219" i="9" s="1"/>
  <c r="P1220" i="9" s="1"/>
  <c r="P1221" i="9" s="1"/>
  <c r="P1222" i="9" s="1"/>
  <c r="P1223" i="9" s="1"/>
  <c r="P1224" i="9" s="1"/>
  <c r="P1225" i="9" s="1"/>
  <c r="P1226" i="9" s="1"/>
  <c r="P1227" i="9" s="1"/>
  <c r="P1228" i="9" s="1"/>
  <c r="P1229" i="9" s="1"/>
  <c r="P1230" i="9" s="1"/>
  <c r="P1231" i="9" s="1"/>
  <c r="P1232" i="9" s="1"/>
  <c r="P1233" i="9" s="1"/>
  <c r="P1234" i="9" s="1"/>
  <c r="P1235" i="9" s="1"/>
  <c r="P1236" i="9" s="1"/>
  <c r="P1237" i="9" s="1"/>
  <c r="P1238" i="9" s="1"/>
  <c r="P1239" i="9" s="1"/>
  <c r="P1240" i="9" s="1"/>
  <c r="P1241" i="9" s="1"/>
  <c r="P1242" i="9" s="1"/>
  <c r="P1243" i="9" s="1"/>
  <c r="P1244" i="9" s="1"/>
  <c r="P1245" i="9" s="1"/>
  <c r="P1246" i="9" s="1"/>
  <c r="P1247" i="9" s="1"/>
  <c r="P1248" i="9" s="1"/>
  <c r="P1249" i="9" s="1"/>
  <c r="P1250" i="9" s="1"/>
  <c r="P1251" i="9" s="1"/>
  <c r="P1252" i="9" s="1"/>
  <c r="P1253" i="9" s="1"/>
  <c r="P1254" i="9" s="1"/>
  <c r="P1255" i="9" s="1"/>
  <c r="P1256" i="9" s="1"/>
  <c r="P1257" i="9" s="1"/>
  <c r="P1258" i="9" s="1"/>
  <c r="P1259" i="9" s="1"/>
  <c r="P1260" i="9" s="1"/>
  <c r="P1261" i="9" s="1"/>
  <c r="P1262" i="9" s="1"/>
  <c r="P1263" i="9" s="1"/>
  <c r="P1264" i="9" s="1"/>
  <c r="P1265" i="9" s="1"/>
  <c r="P1266" i="9" s="1"/>
  <c r="P1267" i="9" s="1"/>
  <c r="P1268" i="9" s="1"/>
  <c r="P1269" i="9" s="1"/>
  <c r="P1270" i="9" s="1"/>
  <c r="P1271" i="9" s="1"/>
  <c r="P1272" i="9" s="1"/>
  <c r="P1273" i="9" s="1"/>
  <c r="P1274" i="9" s="1"/>
  <c r="P1275" i="9" s="1"/>
  <c r="P1276" i="9" s="1"/>
  <c r="P1277" i="9" s="1"/>
  <c r="P1278" i="9" s="1"/>
  <c r="P1279" i="9" s="1"/>
  <c r="P1280" i="9" s="1"/>
  <c r="P1281" i="9" s="1"/>
  <c r="P1282" i="9" s="1"/>
  <c r="P1283" i="9" s="1"/>
  <c r="P1284" i="9" s="1"/>
  <c r="P1285" i="9" s="1"/>
  <c r="P1286" i="9" s="1"/>
  <c r="P1287" i="9" s="1"/>
  <c r="P1288" i="9" s="1"/>
  <c r="P1289" i="9" s="1"/>
  <c r="P1290" i="9" s="1"/>
  <c r="P1291" i="9" s="1"/>
  <c r="P1292" i="9" s="1"/>
  <c r="P1293" i="9" s="1"/>
  <c r="P1294" i="9" s="1"/>
  <c r="P1295" i="9" s="1"/>
  <c r="P1296" i="9" s="1"/>
  <c r="P1297" i="9" s="1"/>
  <c r="P1298" i="9" s="1"/>
  <c r="P1299" i="9" s="1"/>
  <c r="P1300" i="9" s="1"/>
  <c r="P1301" i="9" s="1"/>
  <c r="P1302" i="9" s="1"/>
  <c r="P1303" i="9" s="1"/>
  <c r="P1304" i="9" s="1"/>
  <c r="P1305" i="9" s="1"/>
  <c r="P1306" i="9" s="1"/>
  <c r="P1307" i="9" s="1"/>
  <c r="P1308" i="9" s="1"/>
  <c r="P1309" i="9" s="1"/>
  <c r="P1310" i="9" s="1"/>
  <c r="P1311" i="9" s="1"/>
  <c r="P1312" i="9" s="1"/>
  <c r="P1313" i="9" s="1"/>
  <c r="P1314" i="9" s="1"/>
  <c r="P1315" i="9" s="1"/>
  <c r="P1316" i="9" s="1"/>
  <c r="P1317" i="9" s="1"/>
  <c r="P1318" i="9" s="1"/>
  <c r="P1319" i="9" s="1"/>
  <c r="P1320" i="9" s="1"/>
  <c r="P1321" i="9" s="1"/>
  <c r="P1322" i="9" s="1"/>
  <c r="P1323" i="9" s="1"/>
  <c r="P1324" i="9" s="1"/>
  <c r="P1325" i="9" s="1"/>
  <c r="P1326" i="9" s="1"/>
  <c r="P1327" i="9" s="1"/>
  <c r="P1328" i="9" s="1"/>
  <c r="P1329" i="9" s="1"/>
  <c r="P1330" i="9" s="1"/>
  <c r="P1331" i="9" s="1"/>
  <c r="P1332" i="9" s="1"/>
  <c r="P1333" i="9" s="1"/>
  <c r="P1334" i="9" s="1"/>
  <c r="P1335" i="9" s="1"/>
  <c r="P1336" i="9" s="1"/>
  <c r="P1337" i="9" s="1"/>
  <c r="P1338" i="9" s="1"/>
  <c r="P1339" i="9" s="1"/>
  <c r="P1340" i="9" s="1"/>
  <c r="P1341" i="9" s="1"/>
  <c r="P1342" i="9" s="1"/>
  <c r="P1343" i="9" s="1"/>
  <c r="P1344" i="9" s="1"/>
  <c r="P1345" i="9" s="1"/>
  <c r="P1346" i="9" s="1"/>
  <c r="P1347" i="9" s="1"/>
  <c r="P1348" i="9" s="1"/>
  <c r="P1349" i="9" s="1"/>
  <c r="P1350" i="9" s="1"/>
  <c r="P1351" i="9" s="1"/>
  <c r="P1352" i="9" s="1"/>
  <c r="P1353" i="9" s="1"/>
  <c r="P1354" i="9" s="1"/>
  <c r="P1355" i="9" s="1"/>
  <c r="P1356" i="9" s="1"/>
  <c r="P1357" i="9" s="1"/>
  <c r="P1358" i="9" s="1"/>
  <c r="P1359" i="9" s="1"/>
  <c r="P1360" i="9" s="1"/>
  <c r="P1361" i="9" s="1"/>
  <c r="P1362" i="9" s="1"/>
  <c r="P1363" i="9" s="1"/>
  <c r="P1364" i="9" s="1"/>
  <c r="P1365" i="9" s="1"/>
  <c r="P1366" i="9" s="1"/>
  <c r="P1367" i="9" s="1"/>
  <c r="P1368" i="9" s="1"/>
  <c r="P1369" i="9" s="1"/>
  <c r="P1370" i="9" s="1"/>
  <c r="P1371" i="9" s="1"/>
  <c r="P1372" i="9" s="1"/>
  <c r="P1373" i="9" s="1"/>
  <c r="P1374" i="9" s="1"/>
  <c r="P1375" i="9" s="1"/>
  <c r="P1376" i="9" s="1"/>
  <c r="P1377" i="9" s="1"/>
  <c r="P1378" i="9" s="1"/>
  <c r="P1379" i="9" s="1"/>
  <c r="P1380" i="9" s="1"/>
  <c r="P1381" i="9" s="1"/>
  <c r="P1382" i="9" s="1"/>
  <c r="P1383" i="9" s="1"/>
  <c r="P1384" i="9" s="1"/>
  <c r="P1385" i="9" s="1"/>
  <c r="P1386" i="9" s="1"/>
  <c r="P1387" i="9" s="1"/>
  <c r="P1388" i="9" s="1"/>
  <c r="P1389" i="9" s="1"/>
  <c r="P1390" i="9" s="1"/>
  <c r="P1391" i="9" s="1"/>
  <c r="P1392" i="9" s="1"/>
  <c r="P1393" i="9" s="1"/>
  <c r="P1394" i="9" s="1"/>
  <c r="P1395" i="9" s="1"/>
  <c r="P1396" i="9" s="1"/>
  <c r="P1397" i="9" s="1"/>
  <c r="P1398" i="9" s="1"/>
  <c r="P1399" i="9" s="1"/>
  <c r="P1400" i="9" s="1"/>
  <c r="P1401" i="9" s="1"/>
  <c r="P1402" i="9" s="1"/>
  <c r="F2" i="9" l="1"/>
  <c r="D3" i="9" l="1"/>
  <c r="D4" i="9" s="1"/>
  <c r="D5" i="9" s="1"/>
  <c r="D6" i="9" s="1"/>
  <c r="D7" i="9" s="1"/>
  <c r="D8" i="9" s="1"/>
  <c r="D9" i="9" s="1"/>
  <c r="D10" i="9" s="1"/>
  <c r="D11" i="9" s="1"/>
  <c r="D12" i="9" s="1"/>
  <c r="D13" i="9" s="1"/>
  <c r="D14" i="9" s="1"/>
  <c r="G2" i="9" l="1"/>
  <c r="E2" i="9" l="1"/>
  <c r="E3" i="9" l="1"/>
  <c r="F3" i="9" l="1"/>
  <c r="G3" i="9"/>
  <c r="E4" i="9" l="1"/>
  <c r="G4" i="9"/>
  <c r="G5" i="9" s="1"/>
  <c r="F4" i="9"/>
  <c r="E5" i="9" l="1"/>
  <c r="F5" i="9"/>
  <c r="E6" i="9" l="1"/>
  <c r="G6" i="9"/>
  <c r="G7" i="9" s="1"/>
  <c r="G8" i="9" s="1"/>
  <c r="F6" i="9"/>
  <c r="E7" i="9" l="1"/>
  <c r="F7" i="9"/>
  <c r="E8" i="9" l="1"/>
  <c r="F8" i="9"/>
  <c r="G9" i="9"/>
  <c r="E9" i="9" l="1"/>
  <c r="F9" i="9"/>
  <c r="F10" i="9" s="1"/>
  <c r="G10" i="9"/>
  <c r="E10" i="9" l="1"/>
  <c r="G11" i="9"/>
  <c r="F11" i="9"/>
  <c r="E11" i="9" l="1"/>
  <c r="G12" i="9"/>
  <c r="F12" i="9"/>
  <c r="E12" i="9" l="1"/>
  <c r="G13" i="9"/>
  <c r="F13" i="9"/>
  <c r="E13" i="9" l="1"/>
  <c r="G14" i="9"/>
  <c r="F14" i="9"/>
  <c r="E14" i="9" l="1"/>
  <c r="Q2" i="9" l="1"/>
  <c r="T2" i="9" s="1"/>
  <c r="B23" i="9"/>
  <c r="L10" i="9" s="1"/>
  <c r="R2" i="9" l="1"/>
  <c r="S3" i="9" s="1"/>
  <c r="L12" i="9"/>
  <c r="H10" i="9"/>
  <c r="I10" i="9" s="1"/>
  <c r="H13" i="9"/>
  <c r="I13" i="9" s="1"/>
  <c r="L11" i="9"/>
  <c r="M11" i="9" s="1"/>
  <c r="H9" i="9"/>
  <c r="I9" i="9" s="1"/>
  <c r="H12" i="9"/>
  <c r="I12" i="9" s="1"/>
  <c r="Q3" i="9"/>
  <c r="L2" i="9"/>
  <c r="H3" i="9"/>
  <c r="I3" i="9" s="1"/>
  <c r="L3" i="9"/>
  <c r="H5" i="9"/>
  <c r="I5" i="9" s="1"/>
  <c r="L5" i="9"/>
  <c r="H7" i="9"/>
  <c r="I7" i="9" s="1"/>
  <c r="L7" i="9"/>
  <c r="H2" i="9"/>
  <c r="I2" i="9" s="1"/>
  <c r="H4" i="9"/>
  <c r="I4" i="9" s="1"/>
  <c r="L4" i="9"/>
  <c r="H6" i="9"/>
  <c r="I6" i="9" s="1"/>
  <c r="L6" i="9"/>
  <c r="H8" i="9"/>
  <c r="I8" i="9" s="1"/>
  <c r="H14" i="9"/>
  <c r="I14" i="9" s="1"/>
  <c r="L14" i="9"/>
  <c r="L13" i="9"/>
  <c r="M13" i="9" s="1"/>
  <c r="H11" i="9"/>
  <c r="I11" i="9" s="1"/>
  <c r="L9" i="9"/>
  <c r="L8" i="9"/>
  <c r="M8" i="9" s="1"/>
  <c r="J14" i="9" l="1"/>
  <c r="M9" i="9"/>
  <c r="M4" i="9"/>
  <c r="M6" i="9"/>
  <c r="M12" i="9"/>
  <c r="K4" i="9"/>
  <c r="J3" i="9"/>
  <c r="K12" i="9"/>
  <c r="J11" i="9"/>
  <c r="J8" i="9"/>
  <c r="K9" i="9"/>
  <c r="J4" i="9"/>
  <c r="K5" i="9"/>
  <c r="M5" i="9"/>
  <c r="K13" i="9"/>
  <c r="J12" i="9"/>
  <c r="K11" i="9"/>
  <c r="J10" i="9"/>
  <c r="K14" i="9"/>
  <c r="J13" i="9"/>
  <c r="K6" i="9"/>
  <c r="J5" i="9"/>
  <c r="K10" i="9"/>
  <c r="J9" i="9"/>
  <c r="K8" i="9"/>
  <c r="J7" i="9"/>
  <c r="T3" i="9"/>
  <c r="R3" i="9"/>
  <c r="S4" i="9" s="1"/>
  <c r="K3" i="9"/>
  <c r="B14" i="9"/>
  <c r="M14" i="9"/>
  <c r="J6" i="9"/>
  <c r="K7" i="9"/>
  <c r="M7" i="9"/>
  <c r="M3" i="9"/>
  <c r="M10" i="9"/>
  <c r="B18" i="9" l="1"/>
  <c r="B16" i="9"/>
  <c r="Q4" i="9"/>
  <c r="B15" i="9"/>
  <c r="B17" i="9" l="1"/>
  <c r="B19" i="9" s="1"/>
  <c r="B21" i="9" s="1"/>
  <c r="R4" i="9"/>
  <c r="S5" i="9" s="1"/>
  <c r="T4" i="9"/>
  <c r="Q5" i="9" l="1"/>
  <c r="T5" i="9" l="1"/>
  <c r="R5" i="9"/>
  <c r="S6" i="9" s="1"/>
  <c r="Q6" i="9" l="1"/>
  <c r="R6" i="9" l="1"/>
  <c r="S7" i="9" s="1"/>
  <c r="T6" i="9"/>
  <c r="Q7" i="9" l="1"/>
  <c r="T7" i="9" l="1"/>
  <c r="R7" i="9"/>
  <c r="S8" i="9" s="1"/>
  <c r="Q8" i="9" l="1"/>
  <c r="R8" i="9" l="1"/>
  <c r="S9" i="9" s="1"/>
  <c r="T8" i="9"/>
  <c r="Q9" i="9" l="1"/>
  <c r="T9" i="9" l="1"/>
  <c r="R9" i="9"/>
  <c r="S10" i="9" s="1"/>
  <c r="Q10" i="9" l="1"/>
  <c r="R10" i="9" l="1"/>
  <c r="S11" i="9" s="1"/>
  <c r="T10" i="9"/>
  <c r="Q11" i="9" l="1"/>
  <c r="T11" i="9" l="1"/>
  <c r="R11" i="9"/>
  <c r="S12" i="9" s="1"/>
  <c r="Q12" i="9" l="1"/>
  <c r="R12" i="9" l="1"/>
  <c r="S13" i="9" s="1"/>
  <c r="T12" i="9"/>
  <c r="Q13" i="9" l="1"/>
  <c r="T13" i="9" l="1"/>
  <c r="R13" i="9"/>
  <c r="S14" i="9" s="1"/>
  <c r="Q14" i="9" l="1"/>
  <c r="T14" i="9" l="1"/>
  <c r="R14" i="9"/>
  <c r="S15" i="9" s="1"/>
  <c r="Q15" i="9" l="1"/>
  <c r="T15" i="9" l="1"/>
  <c r="R15" i="9"/>
  <c r="S16" i="9" s="1"/>
  <c r="Q16" i="9" l="1"/>
  <c r="T16" i="9" l="1"/>
  <c r="R16" i="9"/>
  <c r="S17" i="9" s="1"/>
  <c r="Q17" i="9" l="1"/>
  <c r="R17" i="9" l="1"/>
  <c r="S18" i="9" s="1"/>
  <c r="T17" i="9"/>
  <c r="Q18" i="9" l="1"/>
  <c r="T18" i="9" l="1"/>
  <c r="R18" i="9"/>
  <c r="S19" i="9" s="1"/>
  <c r="Q19" i="9" l="1"/>
  <c r="R19" i="9" l="1"/>
  <c r="S20" i="9" s="1"/>
  <c r="T19" i="9"/>
  <c r="Q20" i="9" l="1"/>
  <c r="R20" i="9" l="1"/>
  <c r="S21" i="9" s="1"/>
  <c r="T20" i="9"/>
  <c r="Q21" i="9" l="1"/>
  <c r="R21" i="9" l="1"/>
  <c r="S22" i="9" s="1"/>
  <c r="T21" i="9"/>
  <c r="Q22" i="9" l="1"/>
  <c r="R22" i="9" l="1"/>
  <c r="S23" i="9" s="1"/>
  <c r="T22" i="9"/>
  <c r="Q23" i="9" l="1"/>
  <c r="T23" i="9" l="1"/>
  <c r="R23" i="9"/>
  <c r="S24" i="9" s="1"/>
  <c r="Q24" i="9" l="1"/>
  <c r="T24" i="9" l="1"/>
  <c r="R24" i="9"/>
  <c r="S25" i="9" s="1"/>
  <c r="Q25" i="9" l="1"/>
  <c r="T25" i="9" l="1"/>
  <c r="R25" i="9"/>
  <c r="S26" i="9" s="1"/>
  <c r="Q26" i="9" l="1"/>
  <c r="T26" i="9" l="1"/>
  <c r="R26" i="9"/>
  <c r="S27" i="9" s="1"/>
  <c r="Q27" i="9" l="1"/>
  <c r="T27" i="9" l="1"/>
  <c r="R27" i="9"/>
  <c r="S28" i="9" s="1"/>
  <c r="Q28" i="9" l="1"/>
  <c r="T28" i="9" l="1"/>
  <c r="R28" i="9"/>
  <c r="S29" i="9" s="1"/>
  <c r="Q29" i="9" l="1"/>
  <c r="T29" i="9" l="1"/>
  <c r="R29" i="9"/>
  <c r="S30" i="9" s="1"/>
  <c r="Q30" i="9" l="1"/>
  <c r="T30" i="9" l="1"/>
  <c r="R30" i="9"/>
  <c r="S31" i="9" s="1"/>
  <c r="Q31" i="9" l="1"/>
  <c r="T31" i="9" l="1"/>
  <c r="R31" i="9"/>
  <c r="S32" i="9" s="1"/>
  <c r="Q32" i="9" l="1"/>
  <c r="T32" i="9" l="1"/>
  <c r="R32" i="9"/>
  <c r="S33" i="9" s="1"/>
  <c r="Q33" i="9" l="1"/>
  <c r="T33" i="9" l="1"/>
  <c r="R33" i="9"/>
  <c r="S34" i="9" s="1"/>
  <c r="Q34" i="9" l="1"/>
  <c r="T34" i="9" l="1"/>
  <c r="R34" i="9"/>
  <c r="S35" i="9" s="1"/>
  <c r="Q35" i="9" l="1"/>
  <c r="T35" i="9" l="1"/>
  <c r="R35" i="9"/>
  <c r="S36" i="9" s="1"/>
  <c r="Q36" i="9" l="1"/>
  <c r="T36" i="9" l="1"/>
  <c r="R36" i="9"/>
  <c r="S37" i="9" s="1"/>
  <c r="Q37" i="9" l="1"/>
  <c r="T37" i="9" l="1"/>
  <c r="R37" i="9"/>
  <c r="S38" i="9" s="1"/>
  <c r="Q38" i="9" l="1"/>
  <c r="T38" i="9" l="1"/>
  <c r="R38" i="9"/>
  <c r="S39" i="9" s="1"/>
  <c r="Q39" i="9" l="1"/>
  <c r="T39" i="9" l="1"/>
  <c r="R39" i="9"/>
  <c r="S40" i="9" s="1"/>
  <c r="Q40" i="9" l="1"/>
  <c r="T40" i="9" l="1"/>
  <c r="R40" i="9"/>
  <c r="S41" i="9" s="1"/>
  <c r="Q41" i="9" l="1"/>
  <c r="T41" i="9" l="1"/>
  <c r="R41" i="9"/>
  <c r="S42" i="9" s="1"/>
  <c r="Q42" i="9" l="1"/>
  <c r="T42" i="9" l="1"/>
  <c r="R42" i="9"/>
  <c r="S43" i="9" s="1"/>
  <c r="Q43" i="9" l="1"/>
  <c r="T43" i="9" l="1"/>
  <c r="R43" i="9"/>
  <c r="S44" i="9" s="1"/>
  <c r="Q44" i="9" l="1"/>
  <c r="T44" i="9" l="1"/>
  <c r="R44" i="9"/>
  <c r="S45" i="9" s="1"/>
  <c r="Q45" i="9" l="1"/>
  <c r="T45" i="9" l="1"/>
  <c r="R45" i="9"/>
  <c r="S46" i="9" s="1"/>
  <c r="Q46" i="9" l="1"/>
  <c r="T46" i="9" l="1"/>
  <c r="R46" i="9"/>
  <c r="S47" i="9" s="1"/>
  <c r="Q47" i="9" l="1"/>
  <c r="T47" i="9" l="1"/>
  <c r="R47" i="9"/>
  <c r="S48" i="9" s="1"/>
  <c r="Q48" i="9" l="1"/>
  <c r="T48" i="9" l="1"/>
  <c r="R48" i="9"/>
  <c r="S49" i="9" s="1"/>
  <c r="Q49" i="9" l="1"/>
  <c r="T49" i="9" l="1"/>
  <c r="R49" i="9"/>
  <c r="S50" i="9" s="1"/>
  <c r="Q50" i="9" l="1"/>
  <c r="T50" i="9" l="1"/>
  <c r="R50" i="9"/>
  <c r="S51" i="9" s="1"/>
  <c r="Q51" i="9" l="1"/>
  <c r="T51" i="9" l="1"/>
  <c r="R51" i="9"/>
  <c r="S52" i="9" s="1"/>
  <c r="Q52" i="9" l="1"/>
  <c r="T52" i="9" l="1"/>
  <c r="R52" i="9"/>
  <c r="S53" i="9" s="1"/>
  <c r="Q53" i="9" l="1"/>
  <c r="T53" i="9" l="1"/>
  <c r="R53" i="9"/>
  <c r="S54" i="9" s="1"/>
  <c r="Q54" i="9" l="1"/>
  <c r="T54" i="9" l="1"/>
  <c r="R54" i="9"/>
  <c r="S55" i="9" s="1"/>
  <c r="Q55" i="9" l="1"/>
  <c r="T55" i="9" l="1"/>
  <c r="R55" i="9"/>
  <c r="S56" i="9" s="1"/>
  <c r="Q56" i="9" l="1"/>
  <c r="T56" i="9" l="1"/>
  <c r="R56" i="9"/>
  <c r="S57" i="9" s="1"/>
  <c r="Q57" i="9" l="1"/>
  <c r="T57" i="9" l="1"/>
  <c r="R57" i="9"/>
  <c r="S58" i="9" s="1"/>
  <c r="Q58" i="9" l="1"/>
  <c r="T58" i="9" l="1"/>
  <c r="R58" i="9"/>
  <c r="S59" i="9" s="1"/>
  <c r="Q59" i="9" l="1"/>
  <c r="T59" i="9" l="1"/>
  <c r="R59" i="9"/>
  <c r="S60" i="9" s="1"/>
  <c r="Q60" i="9" l="1"/>
  <c r="T60" i="9" l="1"/>
  <c r="R60" i="9"/>
  <c r="S61" i="9" s="1"/>
  <c r="Q61" i="9" l="1"/>
  <c r="T61" i="9" l="1"/>
  <c r="R61" i="9"/>
  <c r="S62" i="9" s="1"/>
  <c r="Q62" i="9" l="1"/>
  <c r="T62" i="9" l="1"/>
  <c r="R62" i="9"/>
  <c r="S63" i="9" s="1"/>
  <c r="Q63" i="9" l="1"/>
  <c r="T63" i="9" l="1"/>
  <c r="R63" i="9"/>
  <c r="S64" i="9" s="1"/>
  <c r="Q64" i="9" l="1"/>
  <c r="T64" i="9" l="1"/>
  <c r="R64" i="9"/>
  <c r="S65" i="9" s="1"/>
  <c r="Q65" i="9" l="1"/>
  <c r="T65" i="9" l="1"/>
  <c r="R65" i="9"/>
  <c r="S66" i="9" s="1"/>
  <c r="Q66" i="9" l="1"/>
  <c r="T66" i="9" l="1"/>
  <c r="R66" i="9"/>
  <c r="S67" i="9" s="1"/>
  <c r="Q67" i="9" l="1"/>
  <c r="T67" i="9" l="1"/>
  <c r="R67" i="9"/>
  <c r="S68" i="9" s="1"/>
  <c r="Q68" i="9" l="1"/>
  <c r="T68" i="9" l="1"/>
  <c r="R68" i="9"/>
  <c r="S69" i="9" s="1"/>
  <c r="Q69" i="9" l="1"/>
  <c r="T69" i="9" l="1"/>
  <c r="R69" i="9"/>
  <c r="S70" i="9" s="1"/>
  <c r="Q70" i="9" l="1"/>
  <c r="T70" i="9" l="1"/>
  <c r="R70" i="9"/>
  <c r="S71" i="9" s="1"/>
  <c r="Q71" i="9" l="1"/>
  <c r="T71" i="9" l="1"/>
  <c r="R71" i="9"/>
  <c r="S72" i="9" s="1"/>
  <c r="Q72" i="9" l="1"/>
  <c r="T72" i="9" l="1"/>
  <c r="R72" i="9"/>
  <c r="S73" i="9" s="1"/>
  <c r="Q73" i="9" l="1"/>
  <c r="T73" i="9" l="1"/>
  <c r="R73" i="9"/>
  <c r="S74" i="9" s="1"/>
  <c r="Q74" i="9" l="1"/>
  <c r="T74" i="9" l="1"/>
  <c r="R74" i="9"/>
  <c r="S75" i="9" s="1"/>
  <c r="Q75" i="9" l="1"/>
  <c r="T75" i="9" l="1"/>
  <c r="R75" i="9"/>
  <c r="S76" i="9" s="1"/>
  <c r="Q76" i="9" l="1"/>
  <c r="T76" i="9" l="1"/>
  <c r="R76" i="9"/>
  <c r="S77" i="9" s="1"/>
  <c r="Q77" i="9" l="1"/>
  <c r="T77" i="9" l="1"/>
  <c r="R77" i="9"/>
  <c r="S78" i="9" s="1"/>
  <c r="Q78" i="9" l="1"/>
  <c r="T78" i="9" l="1"/>
  <c r="R78" i="9"/>
  <c r="S79" i="9" s="1"/>
  <c r="Q79" i="9" l="1"/>
  <c r="T79" i="9" l="1"/>
  <c r="R79" i="9"/>
  <c r="S80" i="9" s="1"/>
  <c r="Q80" i="9" l="1"/>
  <c r="T80" i="9" l="1"/>
  <c r="R80" i="9"/>
  <c r="S81" i="9" s="1"/>
  <c r="Q81" i="9" l="1"/>
  <c r="T81" i="9" l="1"/>
  <c r="R81" i="9"/>
  <c r="S82" i="9" s="1"/>
  <c r="Q82" i="9" l="1"/>
  <c r="T82" i="9" l="1"/>
  <c r="R82" i="9"/>
  <c r="S83" i="9" s="1"/>
  <c r="Q83" i="9" l="1"/>
  <c r="T83" i="9" l="1"/>
  <c r="R83" i="9"/>
  <c r="S84" i="9" s="1"/>
  <c r="Q84" i="9" l="1"/>
  <c r="T84" i="9" l="1"/>
  <c r="R84" i="9"/>
  <c r="S85" i="9" s="1"/>
  <c r="Q85" i="9" l="1"/>
  <c r="T85" i="9" l="1"/>
  <c r="R85" i="9"/>
  <c r="S86" i="9" s="1"/>
  <c r="Q86" i="9" l="1"/>
  <c r="T86" i="9" l="1"/>
  <c r="R86" i="9"/>
  <c r="S87" i="9" s="1"/>
  <c r="Q87" i="9" l="1"/>
  <c r="T87" i="9" l="1"/>
  <c r="R87" i="9"/>
  <c r="S88" i="9" s="1"/>
  <c r="Q88" i="9" l="1"/>
  <c r="T88" i="9" l="1"/>
  <c r="R88" i="9"/>
  <c r="S89" i="9" s="1"/>
  <c r="Q89" i="9" l="1"/>
  <c r="T89" i="9" l="1"/>
  <c r="R89" i="9"/>
  <c r="S90" i="9" s="1"/>
  <c r="Q90" i="9" l="1"/>
  <c r="T90" i="9" l="1"/>
  <c r="R90" i="9"/>
  <c r="S91" i="9" s="1"/>
  <c r="Q91" i="9" l="1"/>
  <c r="R91" i="9" l="1"/>
  <c r="S92" i="9" s="1"/>
  <c r="T91" i="9"/>
  <c r="Q92" i="9" l="1"/>
  <c r="R92" i="9" l="1"/>
  <c r="S93" i="9" s="1"/>
  <c r="T92" i="9"/>
  <c r="Q93" i="9" l="1"/>
  <c r="R93" i="9" l="1"/>
  <c r="S94" i="9" s="1"/>
  <c r="T93" i="9"/>
  <c r="Q94" i="9" l="1"/>
  <c r="R94" i="9" l="1"/>
  <c r="S95" i="9" s="1"/>
  <c r="T94" i="9"/>
  <c r="Q95" i="9" l="1"/>
  <c r="R95" i="9" l="1"/>
  <c r="S96" i="9" s="1"/>
  <c r="T95" i="9"/>
  <c r="Q96" i="9" l="1"/>
  <c r="R96" i="9" l="1"/>
  <c r="S97" i="9" s="1"/>
  <c r="T96" i="9"/>
  <c r="Q97" i="9" l="1"/>
  <c r="R97" i="9" l="1"/>
  <c r="S98" i="9" s="1"/>
  <c r="T97" i="9"/>
  <c r="Q98" i="9" l="1"/>
  <c r="R98" i="9" l="1"/>
  <c r="S99" i="9" s="1"/>
  <c r="T98" i="9"/>
  <c r="Q99" i="9" l="1"/>
  <c r="R99" i="9" l="1"/>
  <c r="S100" i="9" s="1"/>
  <c r="T99" i="9"/>
  <c r="Q100" i="9" l="1"/>
  <c r="R100" i="9" l="1"/>
  <c r="S101" i="9" s="1"/>
  <c r="T100" i="9"/>
  <c r="Q101" i="9" l="1"/>
  <c r="R101" i="9" l="1"/>
  <c r="S102" i="9" s="1"/>
  <c r="T101" i="9"/>
  <c r="Q102" i="9" l="1"/>
  <c r="R102" i="9" l="1"/>
  <c r="S103" i="9" s="1"/>
  <c r="T102" i="9"/>
  <c r="Q103" i="9" l="1"/>
  <c r="R103" i="9" l="1"/>
  <c r="S104" i="9" s="1"/>
  <c r="T103" i="9"/>
  <c r="Q104" i="9" l="1"/>
  <c r="R104" i="9" l="1"/>
  <c r="S105" i="9" s="1"/>
  <c r="T104" i="9"/>
  <c r="Q105" i="9" l="1"/>
  <c r="R105" i="9" l="1"/>
  <c r="S106" i="9" s="1"/>
  <c r="T105" i="9"/>
  <c r="Q106" i="9" l="1"/>
  <c r="R106" i="9" l="1"/>
  <c r="S107" i="9" s="1"/>
  <c r="T106" i="9"/>
  <c r="Q107" i="9" l="1"/>
  <c r="R107" i="9" l="1"/>
  <c r="S108" i="9" s="1"/>
  <c r="T107" i="9"/>
  <c r="Q108" i="9" l="1"/>
  <c r="R108" i="9" l="1"/>
  <c r="S109" i="9" s="1"/>
  <c r="T108" i="9"/>
  <c r="Q109" i="9" l="1"/>
  <c r="R109" i="9" l="1"/>
  <c r="S110" i="9" s="1"/>
  <c r="T109" i="9"/>
  <c r="Q110" i="9" l="1"/>
  <c r="R110" i="9" l="1"/>
  <c r="S111" i="9" s="1"/>
  <c r="T110" i="9"/>
  <c r="Q111" i="9" l="1"/>
  <c r="R111" i="9" l="1"/>
  <c r="S112" i="9" s="1"/>
  <c r="T111" i="9"/>
  <c r="Q112" i="9" l="1"/>
  <c r="R112" i="9" l="1"/>
  <c r="S113" i="9" s="1"/>
  <c r="T112" i="9"/>
  <c r="Q113" i="9" l="1"/>
  <c r="R113" i="9" l="1"/>
  <c r="S114" i="9" s="1"/>
  <c r="T113" i="9"/>
  <c r="Q114" i="9" l="1"/>
  <c r="R114" i="9" l="1"/>
  <c r="S115" i="9" s="1"/>
  <c r="T114" i="9"/>
  <c r="Q115" i="9" l="1"/>
  <c r="R115" i="9" l="1"/>
  <c r="S116" i="9" s="1"/>
  <c r="T115" i="9"/>
  <c r="Q116" i="9" l="1"/>
  <c r="R116" i="9" l="1"/>
  <c r="S117" i="9" s="1"/>
  <c r="T116" i="9"/>
  <c r="Q117" i="9" l="1"/>
  <c r="R117" i="9" l="1"/>
  <c r="S118" i="9" s="1"/>
  <c r="T117" i="9"/>
  <c r="Q118" i="9" l="1"/>
  <c r="R118" i="9" l="1"/>
  <c r="S119" i="9" s="1"/>
  <c r="T118" i="9"/>
  <c r="Q119" i="9" l="1"/>
  <c r="R119" i="9" l="1"/>
  <c r="S120" i="9" s="1"/>
  <c r="T119" i="9"/>
  <c r="Q120" i="9" l="1"/>
  <c r="R120" i="9" l="1"/>
  <c r="S121" i="9" s="1"/>
  <c r="T120" i="9"/>
  <c r="Q121" i="9" l="1"/>
  <c r="R121" i="9" l="1"/>
  <c r="S122" i="9" s="1"/>
  <c r="T121" i="9"/>
  <c r="Q122" i="9" l="1"/>
  <c r="R122" i="9" l="1"/>
  <c r="S123" i="9" s="1"/>
  <c r="T122" i="9"/>
  <c r="Q123" i="9" l="1"/>
  <c r="R123" i="9" l="1"/>
  <c r="S124" i="9" s="1"/>
  <c r="T123" i="9"/>
  <c r="Q124" i="9" l="1"/>
  <c r="R124" i="9" l="1"/>
  <c r="S125" i="9" s="1"/>
  <c r="T124" i="9"/>
  <c r="Q125" i="9" l="1"/>
  <c r="R125" i="9" l="1"/>
  <c r="S126" i="9" s="1"/>
  <c r="T125" i="9"/>
  <c r="Q126" i="9" l="1"/>
  <c r="R126" i="9" l="1"/>
  <c r="S127" i="9" s="1"/>
  <c r="T126" i="9"/>
  <c r="Q127" i="9" l="1"/>
  <c r="R127" i="9" l="1"/>
  <c r="S128" i="9" s="1"/>
  <c r="T127" i="9"/>
  <c r="Q128" i="9" l="1"/>
  <c r="R128" i="9" l="1"/>
  <c r="S129" i="9" s="1"/>
  <c r="T128" i="9"/>
  <c r="Q129" i="9" l="1"/>
  <c r="R129" i="9" l="1"/>
  <c r="S130" i="9" s="1"/>
  <c r="T129" i="9"/>
  <c r="Q130" i="9" l="1"/>
  <c r="R130" i="9" l="1"/>
  <c r="S131" i="9" s="1"/>
  <c r="T130" i="9"/>
  <c r="Q131" i="9" l="1"/>
  <c r="R131" i="9" l="1"/>
  <c r="S132" i="9" s="1"/>
  <c r="T131" i="9"/>
  <c r="Q132" i="9" l="1"/>
  <c r="R132" i="9" l="1"/>
  <c r="S133" i="9" s="1"/>
  <c r="T132" i="9"/>
  <c r="Q133" i="9" l="1"/>
  <c r="R133" i="9" l="1"/>
  <c r="S134" i="9" s="1"/>
  <c r="T133" i="9"/>
  <c r="Q134" i="9" l="1"/>
  <c r="R134" i="9" l="1"/>
  <c r="S135" i="9" s="1"/>
  <c r="T134" i="9"/>
  <c r="Q135" i="9" l="1"/>
  <c r="R135" i="9" l="1"/>
  <c r="S136" i="9" s="1"/>
  <c r="T135" i="9"/>
  <c r="Q136" i="9" l="1"/>
  <c r="R136" i="9" l="1"/>
  <c r="S137" i="9" s="1"/>
  <c r="T136" i="9"/>
  <c r="Q137" i="9" l="1"/>
  <c r="R137" i="9" l="1"/>
  <c r="S138" i="9" s="1"/>
  <c r="T137" i="9"/>
  <c r="Q138" i="9" l="1"/>
  <c r="R138" i="9" l="1"/>
  <c r="S139" i="9" s="1"/>
  <c r="T138" i="9"/>
  <c r="Q139" i="9" l="1"/>
  <c r="R139" i="9" l="1"/>
  <c r="S140" i="9" s="1"/>
  <c r="T139" i="9"/>
  <c r="Q140" i="9" l="1"/>
  <c r="R140" i="9" l="1"/>
  <c r="S141" i="9" s="1"/>
  <c r="T140" i="9"/>
  <c r="Q141" i="9" l="1"/>
  <c r="R141" i="9" l="1"/>
  <c r="S142" i="9" s="1"/>
  <c r="T141" i="9"/>
  <c r="Q142" i="9" l="1"/>
  <c r="R142" i="9" l="1"/>
  <c r="S143" i="9" s="1"/>
  <c r="T142" i="9"/>
  <c r="Q143" i="9" l="1"/>
  <c r="R143" i="9" l="1"/>
  <c r="S144" i="9" s="1"/>
  <c r="T143" i="9"/>
  <c r="Q144" i="9" l="1"/>
  <c r="R144" i="9" l="1"/>
  <c r="S145" i="9" s="1"/>
  <c r="T144" i="9"/>
  <c r="Q145" i="9" l="1"/>
  <c r="R145" i="9" l="1"/>
  <c r="S146" i="9" s="1"/>
  <c r="T145" i="9"/>
  <c r="Q146" i="9" l="1"/>
  <c r="R146" i="9" l="1"/>
  <c r="S147" i="9" s="1"/>
  <c r="T146" i="9"/>
  <c r="Q147" i="9" l="1"/>
  <c r="R147" i="9" l="1"/>
  <c r="S148" i="9" s="1"/>
  <c r="T147" i="9"/>
  <c r="Q148" i="9" l="1"/>
  <c r="R148" i="9" l="1"/>
  <c r="S149" i="9" s="1"/>
  <c r="T148" i="9"/>
  <c r="Q149" i="9" l="1"/>
  <c r="R149" i="9" l="1"/>
  <c r="S150" i="9" s="1"/>
  <c r="T149" i="9"/>
  <c r="Q150" i="9" l="1"/>
  <c r="R150" i="9" l="1"/>
  <c r="S151" i="9" s="1"/>
  <c r="T150" i="9"/>
  <c r="Q151" i="9" l="1"/>
  <c r="R151" i="9" l="1"/>
  <c r="S152" i="9" s="1"/>
  <c r="T151" i="9"/>
  <c r="Q152" i="9" l="1"/>
  <c r="R152" i="9" l="1"/>
  <c r="S153" i="9" s="1"/>
  <c r="T152" i="9"/>
  <c r="Q153" i="9" l="1"/>
  <c r="R153" i="9" l="1"/>
  <c r="S154" i="9" s="1"/>
  <c r="T153" i="9"/>
  <c r="Q154" i="9" l="1"/>
  <c r="R154" i="9" l="1"/>
  <c r="S155" i="9" s="1"/>
  <c r="T154" i="9"/>
  <c r="Q155" i="9" l="1"/>
  <c r="R155" i="9" l="1"/>
  <c r="S156" i="9" s="1"/>
  <c r="T155" i="9"/>
  <c r="Q156" i="9" l="1"/>
  <c r="R156" i="9" l="1"/>
  <c r="S157" i="9" s="1"/>
  <c r="T156" i="9"/>
  <c r="Q157" i="9" l="1"/>
  <c r="R157" i="9" l="1"/>
  <c r="S158" i="9" s="1"/>
  <c r="T157" i="9"/>
  <c r="Q158" i="9" l="1"/>
  <c r="R158" i="9" l="1"/>
  <c r="S159" i="9" s="1"/>
  <c r="T158" i="9"/>
  <c r="Q159" i="9" l="1"/>
  <c r="R159" i="9" l="1"/>
  <c r="S160" i="9" s="1"/>
  <c r="T159" i="9"/>
  <c r="Q160" i="9" l="1"/>
  <c r="R160" i="9" l="1"/>
  <c r="S161" i="9" s="1"/>
  <c r="T160" i="9"/>
  <c r="Q161" i="9" l="1"/>
  <c r="R161" i="9" l="1"/>
  <c r="S162" i="9" s="1"/>
  <c r="T161" i="9"/>
  <c r="Q162" i="9" l="1"/>
  <c r="R162" i="9" l="1"/>
  <c r="S163" i="9" s="1"/>
  <c r="T162" i="9"/>
  <c r="Q163" i="9" l="1"/>
  <c r="R163" i="9" l="1"/>
  <c r="S164" i="9" s="1"/>
  <c r="T163" i="9"/>
  <c r="Q164" i="9" l="1"/>
  <c r="R164" i="9" l="1"/>
  <c r="S165" i="9" s="1"/>
  <c r="T164" i="9"/>
  <c r="Q165" i="9" l="1"/>
  <c r="R165" i="9" l="1"/>
  <c r="S166" i="9" s="1"/>
  <c r="T165" i="9"/>
  <c r="Q166" i="9" l="1"/>
  <c r="R166" i="9" l="1"/>
  <c r="S167" i="9" s="1"/>
  <c r="T166" i="9"/>
  <c r="Q167" i="9" l="1"/>
  <c r="R167" i="9" l="1"/>
  <c r="S168" i="9" s="1"/>
  <c r="T167" i="9"/>
  <c r="Q168" i="9" l="1"/>
  <c r="R168" i="9" l="1"/>
  <c r="S169" i="9" s="1"/>
  <c r="T168" i="9"/>
  <c r="Q169" i="9" l="1"/>
  <c r="R169" i="9" l="1"/>
  <c r="S170" i="9" s="1"/>
  <c r="T169" i="9"/>
  <c r="Q170" i="9" l="1"/>
  <c r="R170" i="9" l="1"/>
  <c r="S171" i="9" s="1"/>
  <c r="T170" i="9"/>
  <c r="Q171" i="9" l="1"/>
  <c r="R171" i="9" l="1"/>
  <c r="S172" i="9" s="1"/>
  <c r="T171" i="9"/>
  <c r="Q172" i="9" l="1"/>
  <c r="R172" i="9" l="1"/>
  <c r="S173" i="9" s="1"/>
  <c r="T172" i="9"/>
  <c r="Q173" i="9" l="1"/>
  <c r="R173" i="9" l="1"/>
  <c r="S174" i="9" s="1"/>
  <c r="T173" i="9"/>
  <c r="Q174" i="9" l="1"/>
  <c r="R174" i="9" l="1"/>
  <c r="S175" i="9" s="1"/>
  <c r="T174" i="9"/>
  <c r="Q175" i="9" l="1"/>
  <c r="R175" i="9" l="1"/>
  <c r="S176" i="9" s="1"/>
  <c r="T175" i="9"/>
  <c r="Q176" i="9" l="1"/>
  <c r="R176" i="9" l="1"/>
  <c r="S177" i="9" s="1"/>
  <c r="T176" i="9"/>
  <c r="Q177" i="9" l="1"/>
  <c r="R177" i="9" l="1"/>
  <c r="S178" i="9" s="1"/>
  <c r="T177" i="9"/>
  <c r="Q178" i="9" l="1"/>
  <c r="R178" i="9" l="1"/>
  <c r="S179" i="9" s="1"/>
  <c r="T178" i="9"/>
  <c r="Q179" i="9" l="1"/>
  <c r="R179" i="9" l="1"/>
  <c r="S180" i="9" s="1"/>
  <c r="T179" i="9"/>
  <c r="Q180" i="9" l="1"/>
  <c r="R180" i="9" l="1"/>
  <c r="S181" i="9" s="1"/>
  <c r="T180" i="9"/>
  <c r="Q181" i="9" l="1"/>
  <c r="R181" i="9" l="1"/>
  <c r="S182" i="9" s="1"/>
  <c r="T181" i="9"/>
  <c r="Q182" i="9" l="1"/>
  <c r="R182" i="9" l="1"/>
  <c r="S183" i="9" s="1"/>
  <c r="T182" i="9"/>
  <c r="Q183" i="9" l="1"/>
  <c r="R183" i="9" l="1"/>
  <c r="S184" i="9" s="1"/>
  <c r="T183" i="9"/>
  <c r="Q184" i="9" l="1"/>
  <c r="R184" i="9" l="1"/>
  <c r="S185" i="9" s="1"/>
  <c r="T184" i="9"/>
  <c r="Q185" i="9" l="1"/>
  <c r="R185" i="9" l="1"/>
  <c r="S186" i="9" s="1"/>
  <c r="T185" i="9"/>
  <c r="Q186" i="9" l="1"/>
  <c r="R186" i="9" l="1"/>
  <c r="S187" i="9" s="1"/>
  <c r="T186" i="9"/>
  <c r="Q187" i="9" l="1"/>
  <c r="R187" i="9" l="1"/>
  <c r="S188" i="9" s="1"/>
  <c r="T187" i="9"/>
  <c r="Q188" i="9" l="1"/>
  <c r="R188" i="9" l="1"/>
  <c r="S189" i="9" s="1"/>
  <c r="T188" i="9"/>
  <c r="Q189" i="9" l="1"/>
  <c r="R189" i="9" l="1"/>
  <c r="S190" i="9" s="1"/>
  <c r="T189" i="9"/>
  <c r="Q190" i="9" l="1"/>
  <c r="R190" i="9" l="1"/>
  <c r="S191" i="9" s="1"/>
  <c r="T190" i="9"/>
  <c r="Q191" i="9" l="1"/>
  <c r="R191" i="9" l="1"/>
  <c r="S192" i="9" s="1"/>
  <c r="T191" i="9"/>
  <c r="Q192" i="9" l="1"/>
  <c r="R192" i="9" l="1"/>
  <c r="S193" i="9" s="1"/>
  <c r="T192" i="9"/>
  <c r="Q193" i="9" l="1"/>
  <c r="R193" i="9" l="1"/>
  <c r="S194" i="9" s="1"/>
  <c r="T193" i="9"/>
  <c r="Q194" i="9" l="1"/>
  <c r="R194" i="9" l="1"/>
  <c r="S195" i="9" s="1"/>
  <c r="T194" i="9"/>
  <c r="Q195" i="9" l="1"/>
  <c r="R195" i="9" l="1"/>
  <c r="S196" i="9" s="1"/>
  <c r="T195" i="9"/>
  <c r="Q196" i="9" l="1"/>
  <c r="R196" i="9" l="1"/>
  <c r="S197" i="9" s="1"/>
  <c r="T196" i="9"/>
  <c r="Q197" i="9" l="1"/>
  <c r="R197" i="9" l="1"/>
  <c r="S198" i="9" s="1"/>
  <c r="T197" i="9"/>
  <c r="Q198" i="9" l="1"/>
  <c r="R198" i="9" l="1"/>
  <c r="S199" i="9" s="1"/>
  <c r="T198" i="9"/>
  <c r="Q199" i="9" l="1"/>
  <c r="R199" i="9" l="1"/>
  <c r="S200" i="9" s="1"/>
  <c r="T199" i="9"/>
  <c r="Q200" i="9" l="1"/>
  <c r="R200" i="9" l="1"/>
  <c r="S201" i="9" s="1"/>
  <c r="T200" i="9"/>
  <c r="Q201" i="9" l="1"/>
  <c r="R201" i="9" l="1"/>
  <c r="S202" i="9" s="1"/>
  <c r="T201" i="9"/>
  <c r="Q202" i="9" l="1"/>
  <c r="R202" i="9" l="1"/>
  <c r="S203" i="9" s="1"/>
  <c r="T202" i="9"/>
  <c r="Q203" i="9" l="1"/>
  <c r="R203" i="9" l="1"/>
  <c r="S204" i="9" s="1"/>
  <c r="T203" i="9"/>
  <c r="Q204" i="9" l="1"/>
  <c r="R204" i="9" l="1"/>
  <c r="S205" i="9" s="1"/>
  <c r="T204" i="9"/>
  <c r="Q205" i="9" l="1"/>
  <c r="R205" i="9" l="1"/>
  <c r="S206" i="9" s="1"/>
  <c r="T205" i="9"/>
  <c r="Q206" i="9" l="1"/>
  <c r="R206" i="9" l="1"/>
  <c r="S207" i="9" s="1"/>
  <c r="T206" i="9"/>
  <c r="Q207" i="9" l="1"/>
  <c r="R207" i="9" l="1"/>
  <c r="S208" i="9" s="1"/>
  <c r="T207" i="9"/>
  <c r="Q208" i="9" l="1"/>
  <c r="R208" i="9" l="1"/>
  <c r="S209" i="9" s="1"/>
  <c r="T208" i="9"/>
  <c r="Q209" i="9" l="1"/>
  <c r="R209" i="9" l="1"/>
  <c r="S210" i="9" s="1"/>
  <c r="T209" i="9"/>
  <c r="Q210" i="9" l="1"/>
  <c r="R210" i="9" l="1"/>
  <c r="S211" i="9" s="1"/>
  <c r="T210" i="9"/>
  <c r="Q211" i="9" l="1"/>
  <c r="R211" i="9" l="1"/>
  <c r="S212" i="9" s="1"/>
  <c r="T211" i="9"/>
  <c r="Q212" i="9" l="1"/>
  <c r="R212" i="9" l="1"/>
  <c r="S213" i="9" s="1"/>
  <c r="T212" i="9"/>
  <c r="Q213" i="9" l="1"/>
  <c r="R213" i="9" l="1"/>
  <c r="S214" i="9" s="1"/>
  <c r="T213" i="9"/>
  <c r="Q214" i="9" l="1"/>
  <c r="R214" i="9" l="1"/>
  <c r="S215" i="9" s="1"/>
  <c r="T214" i="9"/>
  <c r="Q215" i="9" l="1"/>
  <c r="R215" i="9" l="1"/>
  <c r="S216" i="9" s="1"/>
  <c r="T215" i="9"/>
  <c r="Q216" i="9" l="1"/>
  <c r="R216" i="9" l="1"/>
  <c r="S217" i="9" s="1"/>
  <c r="T216" i="9"/>
  <c r="Q217" i="9" l="1"/>
  <c r="R217" i="9" l="1"/>
  <c r="S218" i="9" s="1"/>
  <c r="T217" i="9"/>
  <c r="Q218" i="9" l="1"/>
  <c r="R218" i="9" l="1"/>
  <c r="S219" i="9" s="1"/>
  <c r="T218" i="9"/>
  <c r="Q219" i="9" l="1"/>
  <c r="R219" i="9" l="1"/>
  <c r="S220" i="9" s="1"/>
  <c r="T219" i="9"/>
  <c r="Q220" i="9" l="1"/>
  <c r="R220" i="9" l="1"/>
  <c r="S221" i="9" s="1"/>
  <c r="T220" i="9"/>
  <c r="Q221" i="9" l="1"/>
  <c r="R221" i="9" l="1"/>
  <c r="S222" i="9" s="1"/>
  <c r="T221" i="9"/>
  <c r="Q222" i="9" l="1"/>
  <c r="R222" i="9" l="1"/>
  <c r="S223" i="9" s="1"/>
  <c r="T222" i="9"/>
  <c r="Q223" i="9" l="1"/>
  <c r="R223" i="9" l="1"/>
  <c r="S224" i="9" s="1"/>
  <c r="T223" i="9"/>
  <c r="Q224" i="9" l="1"/>
  <c r="R224" i="9" l="1"/>
  <c r="S225" i="9" s="1"/>
  <c r="T224" i="9"/>
  <c r="Q225" i="9" l="1"/>
  <c r="R225" i="9" l="1"/>
  <c r="S226" i="9" s="1"/>
  <c r="T225" i="9"/>
  <c r="Q226" i="9" l="1"/>
  <c r="R226" i="9" l="1"/>
  <c r="S227" i="9" s="1"/>
  <c r="T226" i="9"/>
  <c r="Q227" i="9" l="1"/>
  <c r="R227" i="9" l="1"/>
  <c r="S228" i="9" s="1"/>
  <c r="T227" i="9"/>
  <c r="Q228" i="9" l="1"/>
  <c r="R228" i="9" l="1"/>
  <c r="S229" i="9" s="1"/>
  <c r="T228" i="9"/>
  <c r="Q229" i="9" l="1"/>
  <c r="R229" i="9" l="1"/>
  <c r="S230" i="9" s="1"/>
  <c r="T229" i="9"/>
  <c r="Q230" i="9" l="1"/>
  <c r="R230" i="9" l="1"/>
  <c r="S231" i="9" s="1"/>
  <c r="T230" i="9"/>
  <c r="Q231" i="9" l="1"/>
  <c r="R231" i="9" l="1"/>
  <c r="S232" i="9" s="1"/>
  <c r="T231" i="9"/>
  <c r="Q232" i="9" l="1"/>
  <c r="R232" i="9" l="1"/>
  <c r="S233" i="9" s="1"/>
  <c r="T232" i="9"/>
  <c r="Q233" i="9" l="1"/>
  <c r="R233" i="9" l="1"/>
  <c r="S234" i="9" s="1"/>
  <c r="T233" i="9"/>
  <c r="Q234" i="9" l="1"/>
  <c r="R234" i="9" l="1"/>
  <c r="S235" i="9" s="1"/>
  <c r="T234" i="9"/>
  <c r="Q235" i="9" l="1"/>
  <c r="R235" i="9" l="1"/>
  <c r="S236" i="9" s="1"/>
  <c r="T235" i="9"/>
  <c r="Q236" i="9" l="1"/>
  <c r="R236" i="9" l="1"/>
  <c r="S237" i="9" s="1"/>
  <c r="T236" i="9"/>
  <c r="Q237" i="9" l="1"/>
  <c r="R237" i="9" l="1"/>
  <c r="S238" i="9" s="1"/>
  <c r="T237" i="9"/>
  <c r="Q238" i="9" l="1"/>
  <c r="R238" i="9" l="1"/>
  <c r="S239" i="9" s="1"/>
  <c r="T238" i="9"/>
  <c r="Q239" i="9" l="1"/>
  <c r="R239" i="9" l="1"/>
  <c r="S240" i="9" s="1"/>
  <c r="T239" i="9"/>
  <c r="Q240" i="9" l="1"/>
  <c r="R240" i="9" l="1"/>
  <c r="S241" i="9" s="1"/>
  <c r="T240" i="9"/>
  <c r="Q241" i="9" l="1"/>
  <c r="R241" i="9" l="1"/>
  <c r="S242" i="9" s="1"/>
  <c r="T241" i="9"/>
  <c r="Q242" i="9" l="1"/>
  <c r="R242" i="9" l="1"/>
  <c r="S243" i="9" s="1"/>
  <c r="T242" i="9"/>
  <c r="Q243" i="9" l="1"/>
  <c r="R243" i="9" l="1"/>
  <c r="S244" i="9" s="1"/>
  <c r="T243" i="9"/>
  <c r="Q244" i="9" l="1"/>
  <c r="R244" i="9" l="1"/>
  <c r="S245" i="9" s="1"/>
  <c r="T244" i="9"/>
  <c r="Q245" i="9" l="1"/>
  <c r="R245" i="9" l="1"/>
  <c r="S246" i="9" s="1"/>
  <c r="T245" i="9"/>
  <c r="Q246" i="9" l="1"/>
  <c r="R246" i="9" l="1"/>
  <c r="S247" i="9" s="1"/>
  <c r="T246" i="9"/>
  <c r="Q247" i="9" l="1"/>
  <c r="R247" i="9" l="1"/>
  <c r="S248" i="9" s="1"/>
  <c r="T247" i="9"/>
  <c r="Q248" i="9" l="1"/>
  <c r="R248" i="9" l="1"/>
  <c r="S249" i="9" s="1"/>
  <c r="T248" i="9"/>
  <c r="Q249" i="9" l="1"/>
  <c r="R249" i="9" l="1"/>
  <c r="S250" i="9" s="1"/>
  <c r="T249" i="9"/>
  <c r="Q250" i="9" l="1"/>
  <c r="R250" i="9" l="1"/>
  <c r="S251" i="9" s="1"/>
  <c r="T250" i="9"/>
  <c r="Q251" i="9" l="1"/>
  <c r="R251" i="9" l="1"/>
  <c r="S252" i="9" s="1"/>
  <c r="T251" i="9"/>
  <c r="Q252" i="9" l="1"/>
  <c r="R252" i="9" l="1"/>
  <c r="S253" i="9" s="1"/>
  <c r="T252" i="9"/>
  <c r="Q253" i="9" l="1"/>
  <c r="R253" i="9" l="1"/>
  <c r="S254" i="9" s="1"/>
  <c r="T253" i="9"/>
  <c r="Q254" i="9" l="1"/>
  <c r="R254" i="9" l="1"/>
  <c r="S255" i="9" s="1"/>
  <c r="T254" i="9"/>
  <c r="Q255" i="9" l="1"/>
  <c r="R255" i="9" l="1"/>
  <c r="S256" i="9" s="1"/>
  <c r="T255" i="9"/>
  <c r="Q256" i="9" l="1"/>
  <c r="R256" i="9" l="1"/>
  <c r="S257" i="9" s="1"/>
  <c r="T256" i="9"/>
  <c r="Q257" i="9" l="1"/>
  <c r="R257" i="9" l="1"/>
  <c r="S258" i="9" s="1"/>
  <c r="T257" i="9"/>
  <c r="Q258" i="9" l="1"/>
  <c r="R258" i="9" l="1"/>
  <c r="S259" i="9" s="1"/>
  <c r="T258" i="9"/>
  <c r="Q259" i="9" l="1"/>
  <c r="R259" i="9" l="1"/>
  <c r="S260" i="9" s="1"/>
  <c r="T259" i="9"/>
  <c r="Q260" i="9" l="1"/>
  <c r="R260" i="9" l="1"/>
  <c r="S261" i="9" s="1"/>
  <c r="T260" i="9"/>
  <c r="Q261" i="9" l="1"/>
  <c r="R261" i="9" l="1"/>
  <c r="S262" i="9" s="1"/>
  <c r="T261" i="9"/>
  <c r="Q262" i="9" l="1"/>
  <c r="R262" i="9" l="1"/>
  <c r="S263" i="9" s="1"/>
  <c r="T262" i="9"/>
  <c r="Q263" i="9" l="1"/>
  <c r="R263" i="9" l="1"/>
  <c r="S264" i="9" s="1"/>
  <c r="T263" i="9"/>
  <c r="Q264" i="9" l="1"/>
  <c r="R264" i="9" l="1"/>
  <c r="S265" i="9" s="1"/>
  <c r="T264" i="9"/>
  <c r="Q265" i="9" l="1"/>
  <c r="R265" i="9" l="1"/>
  <c r="S266" i="9" s="1"/>
  <c r="T265" i="9"/>
  <c r="Q266" i="9" l="1"/>
  <c r="R266" i="9" l="1"/>
  <c r="S267" i="9" s="1"/>
  <c r="T266" i="9"/>
  <c r="Q267" i="9" l="1"/>
  <c r="R267" i="9" l="1"/>
  <c r="S268" i="9" s="1"/>
  <c r="T267" i="9"/>
  <c r="Q268" i="9" l="1"/>
  <c r="R268" i="9" l="1"/>
  <c r="S269" i="9" s="1"/>
  <c r="T268" i="9"/>
  <c r="Q269" i="9" l="1"/>
  <c r="R269" i="9" l="1"/>
  <c r="S270" i="9" s="1"/>
  <c r="T269" i="9"/>
  <c r="Q270" i="9" l="1"/>
  <c r="R270" i="9" l="1"/>
  <c r="S271" i="9" s="1"/>
  <c r="T270" i="9"/>
  <c r="Q271" i="9" l="1"/>
  <c r="R271" i="9" l="1"/>
  <c r="S272" i="9" s="1"/>
  <c r="T271" i="9"/>
  <c r="Q272" i="9" l="1"/>
  <c r="R272" i="9" l="1"/>
  <c r="S273" i="9" s="1"/>
  <c r="T272" i="9"/>
  <c r="Q273" i="9" l="1"/>
  <c r="R273" i="9" l="1"/>
  <c r="S274" i="9" s="1"/>
  <c r="T273" i="9"/>
  <c r="Q274" i="9" l="1"/>
  <c r="R274" i="9" l="1"/>
  <c r="S275" i="9" s="1"/>
  <c r="T274" i="9"/>
  <c r="Q275" i="9" l="1"/>
  <c r="R275" i="9" l="1"/>
  <c r="S276" i="9" s="1"/>
  <c r="T275" i="9"/>
  <c r="Q276" i="9" l="1"/>
  <c r="R276" i="9" l="1"/>
  <c r="S277" i="9" s="1"/>
  <c r="T276" i="9"/>
  <c r="Q277" i="9" l="1"/>
  <c r="R277" i="9" l="1"/>
  <c r="S278" i="9" s="1"/>
  <c r="T277" i="9"/>
  <c r="Q278" i="9" l="1"/>
  <c r="R278" i="9" l="1"/>
  <c r="S279" i="9" s="1"/>
  <c r="T278" i="9"/>
  <c r="Q279" i="9" l="1"/>
  <c r="R279" i="9" l="1"/>
  <c r="S280" i="9" s="1"/>
  <c r="T279" i="9"/>
  <c r="Q280" i="9" l="1"/>
  <c r="R280" i="9" l="1"/>
  <c r="S281" i="9" s="1"/>
  <c r="T280" i="9"/>
  <c r="Q281" i="9" l="1"/>
  <c r="R281" i="9" l="1"/>
  <c r="S282" i="9" s="1"/>
  <c r="T281" i="9"/>
  <c r="Q282" i="9" l="1"/>
  <c r="R282" i="9" l="1"/>
  <c r="S283" i="9" s="1"/>
  <c r="T282" i="9"/>
  <c r="Q283" i="9" l="1"/>
  <c r="R283" i="9" l="1"/>
  <c r="S284" i="9" s="1"/>
  <c r="T283" i="9"/>
  <c r="Q284" i="9" l="1"/>
  <c r="R284" i="9" l="1"/>
  <c r="S285" i="9" s="1"/>
  <c r="T284" i="9"/>
  <c r="Q285" i="9" l="1"/>
  <c r="R285" i="9" l="1"/>
  <c r="S286" i="9" s="1"/>
  <c r="T285" i="9"/>
  <c r="Q286" i="9" l="1"/>
  <c r="R286" i="9" l="1"/>
  <c r="S287" i="9" s="1"/>
  <c r="T286" i="9"/>
  <c r="Q287" i="9" l="1"/>
  <c r="R287" i="9" l="1"/>
  <c r="S288" i="9" s="1"/>
  <c r="T287" i="9"/>
  <c r="Q288" i="9" l="1"/>
  <c r="R288" i="9" l="1"/>
  <c r="S289" i="9" s="1"/>
  <c r="T288" i="9"/>
  <c r="Q289" i="9" l="1"/>
  <c r="R289" i="9" l="1"/>
  <c r="S290" i="9" s="1"/>
  <c r="T289" i="9"/>
  <c r="Q290" i="9" l="1"/>
  <c r="R290" i="9" l="1"/>
  <c r="S291" i="9" s="1"/>
  <c r="T290" i="9"/>
  <c r="Q291" i="9" l="1"/>
  <c r="R291" i="9" l="1"/>
  <c r="S292" i="9" s="1"/>
  <c r="T291" i="9"/>
  <c r="Q292" i="9" l="1"/>
  <c r="R292" i="9" l="1"/>
  <c r="S293" i="9" s="1"/>
  <c r="T292" i="9"/>
  <c r="Q293" i="9" l="1"/>
  <c r="R293" i="9" l="1"/>
  <c r="S294" i="9" s="1"/>
  <c r="T293" i="9"/>
  <c r="Q294" i="9" l="1"/>
  <c r="R294" i="9" l="1"/>
  <c r="S295" i="9" s="1"/>
  <c r="T294" i="9"/>
  <c r="Q295" i="9" l="1"/>
  <c r="R295" i="9" l="1"/>
  <c r="S296" i="9" s="1"/>
  <c r="T295" i="9"/>
  <c r="Q296" i="9" l="1"/>
  <c r="R296" i="9" l="1"/>
  <c r="S297" i="9" s="1"/>
  <c r="T296" i="9"/>
  <c r="Q297" i="9" l="1"/>
  <c r="R297" i="9" l="1"/>
  <c r="S298" i="9" s="1"/>
  <c r="T297" i="9"/>
  <c r="Q298" i="9" l="1"/>
  <c r="R298" i="9" l="1"/>
  <c r="S299" i="9" s="1"/>
  <c r="T298" i="9"/>
  <c r="Q299" i="9" l="1"/>
  <c r="R299" i="9" l="1"/>
  <c r="S300" i="9" s="1"/>
  <c r="T299" i="9"/>
  <c r="Q300" i="9" l="1"/>
  <c r="R300" i="9" l="1"/>
  <c r="S301" i="9" s="1"/>
  <c r="T300" i="9"/>
  <c r="Q301" i="9" l="1"/>
  <c r="R301" i="9" l="1"/>
  <c r="S302" i="9" s="1"/>
  <c r="T301" i="9"/>
  <c r="Q302" i="9" l="1"/>
  <c r="R302" i="9" l="1"/>
  <c r="S303" i="9" s="1"/>
  <c r="T302" i="9"/>
  <c r="Q303" i="9" l="1"/>
  <c r="R303" i="9" l="1"/>
  <c r="S304" i="9" s="1"/>
  <c r="T303" i="9"/>
  <c r="Q304" i="9" l="1"/>
  <c r="R304" i="9" l="1"/>
  <c r="S305" i="9" s="1"/>
  <c r="T304" i="9"/>
  <c r="Q305" i="9" l="1"/>
  <c r="R305" i="9" l="1"/>
  <c r="S306" i="9" s="1"/>
  <c r="T305" i="9"/>
  <c r="Q306" i="9" l="1"/>
  <c r="R306" i="9" l="1"/>
  <c r="S307" i="9" s="1"/>
  <c r="T306" i="9"/>
  <c r="Q307" i="9" l="1"/>
  <c r="R307" i="9" l="1"/>
  <c r="S308" i="9" s="1"/>
  <c r="T307" i="9"/>
  <c r="Q308" i="9" l="1"/>
  <c r="R308" i="9" l="1"/>
  <c r="S309" i="9" s="1"/>
  <c r="T308" i="9"/>
  <c r="Q309" i="9" l="1"/>
  <c r="R309" i="9" l="1"/>
  <c r="S310" i="9" s="1"/>
  <c r="T309" i="9"/>
  <c r="Q310" i="9" l="1"/>
  <c r="R310" i="9" l="1"/>
  <c r="S311" i="9" s="1"/>
  <c r="T310" i="9"/>
  <c r="Q311" i="9" l="1"/>
  <c r="R311" i="9" l="1"/>
  <c r="S312" i="9" s="1"/>
  <c r="T311" i="9"/>
  <c r="Q312" i="9" l="1"/>
  <c r="R312" i="9" l="1"/>
  <c r="S313" i="9" s="1"/>
  <c r="T312" i="9"/>
  <c r="Q313" i="9" l="1"/>
  <c r="R313" i="9" l="1"/>
  <c r="S314" i="9" s="1"/>
  <c r="T313" i="9"/>
  <c r="Q314" i="9" l="1"/>
  <c r="R314" i="9" l="1"/>
  <c r="S315" i="9" s="1"/>
  <c r="T314" i="9"/>
  <c r="Q315" i="9" l="1"/>
  <c r="R315" i="9" l="1"/>
  <c r="S316" i="9" s="1"/>
  <c r="T315" i="9"/>
  <c r="Q316" i="9" l="1"/>
  <c r="R316" i="9" l="1"/>
  <c r="S317" i="9" s="1"/>
  <c r="T316" i="9"/>
  <c r="Q317" i="9" l="1"/>
  <c r="R317" i="9" l="1"/>
  <c r="S318" i="9" s="1"/>
  <c r="T317" i="9"/>
  <c r="Q318" i="9" l="1"/>
  <c r="R318" i="9" l="1"/>
  <c r="S319" i="9" s="1"/>
  <c r="T318" i="9"/>
  <c r="Q319" i="9" l="1"/>
  <c r="R319" i="9" l="1"/>
  <c r="S320" i="9" s="1"/>
  <c r="T319" i="9"/>
  <c r="Q320" i="9" l="1"/>
  <c r="R320" i="9" l="1"/>
  <c r="S321" i="9" s="1"/>
  <c r="T320" i="9"/>
  <c r="Q321" i="9" l="1"/>
  <c r="R321" i="9" l="1"/>
  <c r="S322" i="9" s="1"/>
  <c r="T321" i="9"/>
  <c r="Q322" i="9" l="1"/>
  <c r="R322" i="9" l="1"/>
  <c r="S323" i="9" s="1"/>
  <c r="T322" i="9"/>
  <c r="Q323" i="9" l="1"/>
  <c r="R323" i="9" l="1"/>
  <c r="S324" i="9" s="1"/>
  <c r="T323" i="9"/>
  <c r="Q324" i="9" l="1"/>
  <c r="R324" i="9" l="1"/>
  <c r="S325" i="9" s="1"/>
  <c r="T324" i="9"/>
  <c r="Q325" i="9" l="1"/>
  <c r="R325" i="9" l="1"/>
  <c r="S326" i="9" s="1"/>
  <c r="T325" i="9"/>
  <c r="Q326" i="9" l="1"/>
  <c r="R326" i="9" l="1"/>
  <c r="S327" i="9" s="1"/>
  <c r="T326" i="9"/>
  <c r="Q327" i="9" l="1"/>
  <c r="R327" i="9" l="1"/>
  <c r="S328" i="9" s="1"/>
  <c r="T327" i="9"/>
  <c r="Q328" i="9" l="1"/>
  <c r="R328" i="9" l="1"/>
  <c r="S329" i="9" s="1"/>
  <c r="T328" i="9"/>
  <c r="Q329" i="9" l="1"/>
  <c r="R329" i="9" l="1"/>
  <c r="S330" i="9" s="1"/>
  <c r="T329" i="9"/>
  <c r="Q330" i="9" l="1"/>
  <c r="R330" i="9" l="1"/>
  <c r="S331" i="9" s="1"/>
  <c r="T330" i="9"/>
  <c r="Q331" i="9" l="1"/>
  <c r="R331" i="9" l="1"/>
  <c r="S332" i="9" s="1"/>
  <c r="T331" i="9"/>
  <c r="Q332" i="9" l="1"/>
  <c r="R332" i="9" l="1"/>
  <c r="S333" i="9" s="1"/>
  <c r="T332" i="9"/>
  <c r="Q333" i="9" l="1"/>
  <c r="R333" i="9" l="1"/>
  <c r="S334" i="9" s="1"/>
  <c r="T333" i="9"/>
  <c r="Q334" i="9" l="1"/>
  <c r="R334" i="9" l="1"/>
  <c r="S335" i="9" s="1"/>
  <c r="T334" i="9"/>
  <c r="Q335" i="9" l="1"/>
  <c r="R335" i="9" l="1"/>
  <c r="S336" i="9" s="1"/>
  <c r="T335" i="9"/>
  <c r="Q336" i="9" l="1"/>
  <c r="R336" i="9" l="1"/>
  <c r="S337" i="9" s="1"/>
  <c r="T336" i="9"/>
  <c r="Q337" i="9" l="1"/>
  <c r="R337" i="9" l="1"/>
  <c r="S338" i="9" s="1"/>
  <c r="T337" i="9"/>
  <c r="Q338" i="9" l="1"/>
  <c r="R338" i="9" l="1"/>
  <c r="S339" i="9" s="1"/>
  <c r="T338" i="9"/>
  <c r="Q339" i="9" l="1"/>
  <c r="R339" i="9" l="1"/>
  <c r="S340" i="9" s="1"/>
  <c r="T339" i="9"/>
  <c r="Q340" i="9" l="1"/>
  <c r="R340" i="9" l="1"/>
  <c r="S341" i="9" s="1"/>
  <c r="T340" i="9"/>
  <c r="Q341" i="9" l="1"/>
  <c r="R341" i="9" l="1"/>
  <c r="S342" i="9" s="1"/>
  <c r="T341" i="9"/>
  <c r="Q342" i="9" l="1"/>
  <c r="R342" i="9" l="1"/>
  <c r="S343" i="9" s="1"/>
  <c r="T342" i="9"/>
  <c r="Q343" i="9" l="1"/>
  <c r="R343" i="9" l="1"/>
  <c r="S344" i="9" s="1"/>
  <c r="T343" i="9"/>
  <c r="Q344" i="9" l="1"/>
  <c r="R344" i="9" l="1"/>
  <c r="S345" i="9" s="1"/>
  <c r="T344" i="9"/>
  <c r="Q345" i="9" l="1"/>
  <c r="R345" i="9" l="1"/>
  <c r="S346" i="9" s="1"/>
  <c r="T345" i="9"/>
  <c r="Q346" i="9" l="1"/>
  <c r="R346" i="9" l="1"/>
  <c r="S347" i="9" s="1"/>
  <c r="T346" i="9"/>
  <c r="Q347" i="9" l="1"/>
  <c r="R347" i="9" l="1"/>
  <c r="S348" i="9" s="1"/>
  <c r="T347" i="9"/>
  <c r="Q348" i="9" l="1"/>
  <c r="R348" i="9" l="1"/>
  <c r="S349" i="9" s="1"/>
  <c r="T348" i="9"/>
  <c r="Q349" i="9" l="1"/>
  <c r="R349" i="9" l="1"/>
  <c r="S350" i="9" s="1"/>
  <c r="T349" i="9"/>
  <c r="Q350" i="9" l="1"/>
  <c r="R350" i="9" l="1"/>
  <c r="S351" i="9" s="1"/>
  <c r="T350" i="9"/>
  <c r="Q351" i="9" l="1"/>
  <c r="R351" i="9" l="1"/>
  <c r="S352" i="9" s="1"/>
  <c r="T351" i="9"/>
  <c r="Q352" i="9" l="1"/>
  <c r="R352" i="9" l="1"/>
  <c r="S353" i="9" s="1"/>
  <c r="T352" i="9"/>
  <c r="Q353" i="9" l="1"/>
  <c r="R353" i="9" l="1"/>
  <c r="S354" i="9" s="1"/>
  <c r="T353" i="9"/>
  <c r="Q354" i="9" l="1"/>
  <c r="R354" i="9" l="1"/>
  <c r="S355" i="9" s="1"/>
  <c r="T354" i="9"/>
  <c r="Q355" i="9" l="1"/>
  <c r="R355" i="9" l="1"/>
  <c r="S356" i="9" s="1"/>
  <c r="T355" i="9"/>
  <c r="Q356" i="9" l="1"/>
  <c r="R356" i="9" l="1"/>
  <c r="S357" i="9" s="1"/>
  <c r="T356" i="9"/>
  <c r="Q357" i="9" l="1"/>
  <c r="R357" i="9" l="1"/>
  <c r="S358" i="9" s="1"/>
  <c r="T357" i="9"/>
  <c r="Q358" i="9" l="1"/>
  <c r="R358" i="9" l="1"/>
  <c r="S359" i="9" s="1"/>
  <c r="T358" i="9"/>
  <c r="Q359" i="9" l="1"/>
  <c r="R359" i="9" l="1"/>
  <c r="S360" i="9" s="1"/>
  <c r="T359" i="9"/>
  <c r="Q360" i="9" l="1"/>
  <c r="R360" i="9" l="1"/>
  <c r="S361" i="9" s="1"/>
  <c r="T360" i="9"/>
  <c r="Q361" i="9" l="1"/>
  <c r="R361" i="9" l="1"/>
  <c r="S362" i="9" s="1"/>
  <c r="T361" i="9"/>
  <c r="Q362" i="9" l="1"/>
  <c r="R362" i="9" l="1"/>
  <c r="S363" i="9" s="1"/>
  <c r="T362" i="9"/>
  <c r="Q363" i="9" l="1"/>
  <c r="R363" i="9" l="1"/>
  <c r="S364" i="9" s="1"/>
  <c r="T363" i="9"/>
  <c r="Q364" i="9" l="1"/>
  <c r="R364" i="9" l="1"/>
  <c r="S365" i="9" s="1"/>
  <c r="T364" i="9"/>
  <c r="Q365" i="9" l="1"/>
  <c r="R365" i="9" l="1"/>
  <c r="S366" i="9" s="1"/>
  <c r="T365" i="9"/>
  <c r="Q366" i="9" l="1"/>
  <c r="R366" i="9" l="1"/>
  <c r="S367" i="9" s="1"/>
  <c r="T366" i="9"/>
  <c r="Q367" i="9" l="1"/>
  <c r="R367" i="9" l="1"/>
  <c r="S368" i="9" s="1"/>
  <c r="T367" i="9"/>
  <c r="Q368" i="9" l="1"/>
  <c r="R368" i="9" l="1"/>
  <c r="S369" i="9" s="1"/>
  <c r="T368" i="9"/>
  <c r="Q369" i="9" l="1"/>
  <c r="R369" i="9" l="1"/>
  <c r="S370" i="9" s="1"/>
  <c r="T369" i="9"/>
  <c r="Q370" i="9" l="1"/>
  <c r="R370" i="9" l="1"/>
  <c r="S371" i="9" s="1"/>
  <c r="T370" i="9"/>
  <c r="Q371" i="9" l="1"/>
  <c r="R371" i="9" l="1"/>
  <c r="S372" i="9" s="1"/>
  <c r="T371" i="9"/>
  <c r="Q372" i="9" l="1"/>
  <c r="R372" i="9" l="1"/>
  <c r="S373" i="9" s="1"/>
  <c r="T372" i="9"/>
  <c r="Q373" i="9" l="1"/>
  <c r="R373" i="9" l="1"/>
  <c r="S374" i="9" s="1"/>
  <c r="T373" i="9"/>
  <c r="Q374" i="9" l="1"/>
  <c r="R374" i="9" l="1"/>
  <c r="S375" i="9" s="1"/>
  <c r="T374" i="9"/>
  <c r="Q375" i="9" l="1"/>
  <c r="R375" i="9" l="1"/>
  <c r="S376" i="9" s="1"/>
  <c r="T375" i="9"/>
  <c r="Q376" i="9" l="1"/>
  <c r="R376" i="9" l="1"/>
  <c r="S377" i="9" s="1"/>
  <c r="T376" i="9"/>
  <c r="Q377" i="9" l="1"/>
  <c r="R377" i="9" l="1"/>
  <c r="S378" i="9" s="1"/>
  <c r="T377" i="9"/>
  <c r="Q378" i="9" l="1"/>
  <c r="R378" i="9" l="1"/>
  <c r="S379" i="9" s="1"/>
  <c r="T378" i="9"/>
  <c r="Q379" i="9" l="1"/>
  <c r="R379" i="9" l="1"/>
  <c r="S380" i="9" s="1"/>
  <c r="T379" i="9"/>
  <c r="Q380" i="9" l="1"/>
  <c r="R380" i="9" l="1"/>
  <c r="S381" i="9" s="1"/>
  <c r="T380" i="9"/>
  <c r="Q381" i="9" l="1"/>
  <c r="R381" i="9" l="1"/>
  <c r="S382" i="9" s="1"/>
  <c r="T381" i="9"/>
  <c r="Q382" i="9" l="1"/>
  <c r="R382" i="9" l="1"/>
  <c r="S383" i="9" s="1"/>
  <c r="T382" i="9"/>
  <c r="Q383" i="9" l="1"/>
  <c r="R383" i="9" l="1"/>
  <c r="S384" i="9" s="1"/>
  <c r="T383" i="9"/>
  <c r="Q384" i="9" l="1"/>
  <c r="R384" i="9" l="1"/>
  <c r="S385" i="9" s="1"/>
  <c r="T384" i="9"/>
  <c r="Q385" i="9" l="1"/>
  <c r="R385" i="9" l="1"/>
  <c r="S386" i="9" s="1"/>
  <c r="T385" i="9"/>
  <c r="Q386" i="9" l="1"/>
  <c r="R386" i="9" l="1"/>
  <c r="S387" i="9" s="1"/>
  <c r="T386" i="9"/>
  <c r="Q387" i="9" l="1"/>
  <c r="R387" i="9" l="1"/>
  <c r="S388" i="9" s="1"/>
  <c r="T387" i="9"/>
  <c r="Q388" i="9" l="1"/>
  <c r="R388" i="9" l="1"/>
  <c r="S389" i="9" s="1"/>
  <c r="T388" i="9"/>
  <c r="Q389" i="9" l="1"/>
  <c r="R389" i="9" l="1"/>
  <c r="S390" i="9" s="1"/>
  <c r="T389" i="9"/>
  <c r="Q390" i="9" l="1"/>
  <c r="R390" i="9" l="1"/>
  <c r="S391" i="9" s="1"/>
  <c r="T390" i="9"/>
  <c r="Q391" i="9" l="1"/>
  <c r="R391" i="9" l="1"/>
  <c r="S392" i="9" s="1"/>
  <c r="T391" i="9"/>
  <c r="Q392" i="9" l="1"/>
  <c r="R392" i="9" l="1"/>
  <c r="S393" i="9" s="1"/>
  <c r="T392" i="9"/>
  <c r="Q393" i="9" l="1"/>
  <c r="R393" i="9" l="1"/>
  <c r="S394" i="9" s="1"/>
  <c r="T393" i="9"/>
  <c r="Q394" i="9" l="1"/>
  <c r="R394" i="9" l="1"/>
  <c r="S395" i="9" s="1"/>
  <c r="T394" i="9"/>
  <c r="Q395" i="9" l="1"/>
  <c r="R395" i="9" l="1"/>
  <c r="S396" i="9" s="1"/>
  <c r="T395" i="9"/>
  <c r="Q396" i="9" l="1"/>
  <c r="R396" i="9" l="1"/>
  <c r="S397" i="9" s="1"/>
  <c r="T396" i="9"/>
  <c r="Q397" i="9" l="1"/>
  <c r="R397" i="9" l="1"/>
  <c r="S398" i="9" s="1"/>
  <c r="T397" i="9"/>
  <c r="Q398" i="9" l="1"/>
  <c r="R398" i="9" l="1"/>
  <c r="S399" i="9" s="1"/>
  <c r="T398" i="9"/>
  <c r="Q399" i="9" l="1"/>
  <c r="R399" i="9" l="1"/>
  <c r="S400" i="9" s="1"/>
  <c r="T399" i="9"/>
  <c r="Q400" i="9" l="1"/>
  <c r="R400" i="9" l="1"/>
  <c r="S401" i="9" s="1"/>
  <c r="T400" i="9"/>
  <c r="Q401" i="9" l="1"/>
  <c r="R401" i="9" l="1"/>
  <c r="S402" i="9" s="1"/>
  <c r="T401" i="9"/>
  <c r="Q402" i="9" l="1"/>
  <c r="R402" i="9" l="1"/>
  <c r="S403" i="9" s="1"/>
  <c r="T402" i="9"/>
  <c r="Q403" i="9" l="1"/>
  <c r="R403" i="9" l="1"/>
  <c r="S404" i="9" s="1"/>
  <c r="T403" i="9"/>
  <c r="Q404" i="9" l="1"/>
  <c r="R404" i="9" l="1"/>
  <c r="S405" i="9" s="1"/>
  <c r="T404" i="9"/>
  <c r="Q405" i="9" l="1"/>
  <c r="R405" i="9" l="1"/>
  <c r="S406" i="9" s="1"/>
  <c r="T405" i="9"/>
  <c r="Q406" i="9" l="1"/>
  <c r="R406" i="9" l="1"/>
  <c r="S407" i="9" s="1"/>
  <c r="T406" i="9"/>
  <c r="Q407" i="9" l="1"/>
  <c r="R407" i="9" l="1"/>
  <c r="S408" i="9" s="1"/>
  <c r="T407" i="9"/>
  <c r="Q408" i="9" l="1"/>
  <c r="R408" i="9" l="1"/>
  <c r="S409" i="9" s="1"/>
  <c r="T408" i="9"/>
  <c r="Q409" i="9" l="1"/>
  <c r="R409" i="9" l="1"/>
  <c r="S410" i="9" s="1"/>
  <c r="T409" i="9"/>
  <c r="Q410" i="9" l="1"/>
  <c r="R410" i="9" l="1"/>
  <c r="S411" i="9" s="1"/>
  <c r="T410" i="9"/>
  <c r="Q411" i="9" l="1"/>
  <c r="R411" i="9" l="1"/>
  <c r="S412" i="9" s="1"/>
  <c r="T411" i="9"/>
  <c r="Q412" i="9" l="1"/>
  <c r="R412" i="9" l="1"/>
  <c r="S413" i="9" s="1"/>
  <c r="T412" i="9"/>
  <c r="Q413" i="9" l="1"/>
  <c r="R413" i="9" l="1"/>
  <c r="S414" i="9" s="1"/>
  <c r="T413" i="9"/>
  <c r="Q414" i="9" l="1"/>
  <c r="R414" i="9" l="1"/>
  <c r="S415" i="9" s="1"/>
  <c r="T414" i="9"/>
  <c r="Q415" i="9" l="1"/>
  <c r="R415" i="9" l="1"/>
  <c r="S416" i="9" s="1"/>
  <c r="T415" i="9"/>
  <c r="Q416" i="9" l="1"/>
  <c r="R416" i="9" l="1"/>
  <c r="S417" i="9" s="1"/>
  <c r="T416" i="9"/>
  <c r="Q417" i="9" l="1"/>
  <c r="R417" i="9" l="1"/>
  <c r="S418" i="9" s="1"/>
  <c r="T417" i="9"/>
  <c r="Q418" i="9" l="1"/>
  <c r="T418" i="9" l="1"/>
  <c r="R418" i="9"/>
  <c r="S419" i="9" s="1"/>
  <c r="Q419" i="9" l="1"/>
  <c r="R419" i="9" l="1"/>
  <c r="S420" i="9" s="1"/>
  <c r="T419" i="9"/>
  <c r="Q420" i="9" l="1"/>
  <c r="T420" i="9" l="1"/>
  <c r="R420" i="9"/>
  <c r="S421" i="9" s="1"/>
  <c r="Q421" i="9" l="1"/>
  <c r="R421" i="9" l="1"/>
  <c r="S422" i="9" s="1"/>
  <c r="T421" i="9"/>
  <c r="Q422" i="9" l="1"/>
  <c r="T422" i="9" l="1"/>
  <c r="R422" i="9"/>
  <c r="S423" i="9" s="1"/>
  <c r="Q423" i="9" l="1"/>
  <c r="R423" i="9" l="1"/>
  <c r="S424" i="9" s="1"/>
  <c r="T423" i="9"/>
  <c r="Q424" i="9" l="1"/>
  <c r="T424" i="9" l="1"/>
  <c r="R424" i="9"/>
  <c r="S425" i="9" s="1"/>
  <c r="Q425" i="9" l="1"/>
  <c r="R425" i="9" l="1"/>
  <c r="S426" i="9" s="1"/>
  <c r="T425" i="9"/>
  <c r="Q426" i="9" l="1"/>
  <c r="T426" i="9" l="1"/>
  <c r="R426" i="9"/>
  <c r="S427" i="9" s="1"/>
  <c r="Q427" i="9" l="1"/>
  <c r="R427" i="9" l="1"/>
  <c r="S428" i="9" s="1"/>
  <c r="T427" i="9"/>
  <c r="Q428" i="9" l="1"/>
  <c r="T428" i="9" l="1"/>
  <c r="R428" i="9"/>
  <c r="S429" i="9" s="1"/>
  <c r="Q429" i="9" l="1"/>
  <c r="R429" i="9" l="1"/>
  <c r="S430" i="9" s="1"/>
  <c r="T429" i="9"/>
  <c r="Q430" i="9" l="1"/>
  <c r="T430" i="9" l="1"/>
  <c r="R430" i="9"/>
  <c r="S431" i="9" s="1"/>
  <c r="Q431" i="9" l="1"/>
  <c r="R431" i="9" l="1"/>
  <c r="S432" i="9" s="1"/>
  <c r="T431" i="9"/>
  <c r="Q432" i="9" l="1"/>
  <c r="R432" i="9" l="1"/>
  <c r="S433" i="9" s="1"/>
  <c r="T432" i="9"/>
  <c r="Q433" i="9" l="1"/>
  <c r="R433" i="9" l="1"/>
  <c r="S434" i="9" s="1"/>
  <c r="T433" i="9"/>
  <c r="Q434" i="9" l="1"/>
  <c r="R434" i="9" l="1"/>
  <c r="S435" i="9" s="1"/>
  <c r="T434" i="9"/>
  <c r="Q435" i="9" l="1"/>
  <c r="R435" i="9" l="1"/>
  <c r="S436" i="9" s="1"/>
  <c r="T435" i="9"/>
  <c r="Q436" i="9" l="1"/>
  <c r="R436" i="9" l="1"/>
  <c r="S437" i="9" s="1"/>
  <c r="T436" i="9"/>
  <c r="Q437" i="9" l="1"/>
  <c r="R437" i="9" l="1"/>
  <c r="S438" i="9" s="1"/>
  <c r="T437" i="9"/>
  <c r="Q438" i="9" l="1"/>
  <c r="R438" i="9" l="1"/>
  <c r="S439" i="9" s="1"/>
  <c r="T438" i="9"/>
  <c r="Q439" i="9" l="1"/>
  <c r="R439" i="9" l="1"/>
  <c r="S440" i="9" s="1"/>
  <c r="T439" i="9"/>
  <c r="Q440" i="9" l="1"/>
  <c r="R440" i="9" l="1"/>
  <c r="S441" i="9" s="1"/>
  <c r="T440" i="9"/>
  <c r="Q441" i="9" l="1"/>
  <c r="R441" i="9" l="1"/>
  <c r="S442" i="9" s="1"/>
  <c r="T441" i="9"/>
  <c r="Q442" i="9" l="1"/>
  <c r="R442" i="9" l="1"/>
  <c r="S443" i="9" s="1"/>
  <c r="T442" i="9"/>
  <c r="Q443" i="9" l="1"/>
  <c r="R443" i="9" l="1"/>
  <c r="S444" i="9" s="1"/>
  <c r="T443" i="9"/>
  <c r="Q444" i="9" l="1"/>
  <c r="R444" i="9" l="1"/>
  <c r="S445" i="9" s="1"/>
  <c r="T444" i="9"/>
  <c r="Q445" i="9" l="1"/>
  <c r="R445" i="9" l="1"/>
  <c r="S446" i="9" s="1"/>
  <c r="T445" i="9"/>
  <c r="Q446" i="9" l="1"/>
  <c r="R446" i="9" l="1"/>
  <c r="S447" i="9" s="1"/>
  <c r="T446" i="9"/>
  <c r="Q447" i="9" l="1"/>
  <c r="R447" i="9" l="1"/>
  <c r="S448" i="9" s="1"/>
  <c r="T447" i="9"/>
  <c r="Q448" i="9" l="1"/>
  <c r="R448" i="9" l="1"/>
  <c r="S449" i="9" s="1"/>
  <c r="T448" i="9"/>
  <c r="Q449" i="9" l="1"/>
  <c r="R449" i="9" l="1"/>
  <c r="S450" i="9" s="1"/>
  <c r="T449" i="9"/>
  <c r="Q450" i="9" l="1"/>
  <c r="R450" i="9" l="1"/>
  <c r="S451" i="9" s="1"/>
  <c r="T450" i="9"/>
  <c r="Q451" i="9" l="1"/>
  <c r="R451" i="9" l="1"/>
  <c r="S452" i="9" s="1"/>
  <c r="T451" i="9"/>
  <c r="Q452" i="9" l="1"/>
  <c r="R452" i="9" l="1"/>
  <c r="S453" i="9" s="1"/>
  <c r="T452" i="9"/>
  <c r="Q453" i="9" l="1"/>
  <c r="R453" i="9" l="1"/>
  <c r="S454" i="9" s="1"/>
  <c r="T453" i="9"/>
  <c r="Q454" i="9" l="1"/>
  <c r="R454" i="9" l="1"/>
  <c r="S455" i="9" s="1"/>
  <c r="T454" i="9"/>
  <c r="Q455" i="9" l="1"/>
  <c r="R455" i="9" l="1"/>
  <c r="S456" i="9" s="1"/>
  <c r="T455" i="9"/>
  <c r="Q456" i="9" l="1"/>
  <c r="R456" i="9" l="1"/>
  <c r="S457" i="9" s="1"/>
  <c r="T456" i="9"/>
  <c r="Q457" i="9" l="1"/>
  <c r="R457" i="9" l="1"/>
  <c r="S458" i="9" s="1"/>
  <c r="T457" i="9"/>
  <c r="Q458" i="9" l="1"/>
  <c r="R458" i="9" l="1"/>
  <c r="S459" i="9" s="1"/>
  <c r="T458" i="9"/>
  <c r="Q459" i="9" l="1"/>
  <c r="R459" i="9" l="1"/>
  <c r="S460" i="9" s="1"/>
  <c r="T459" i="9"/>
  <c r="Q460" i="9" l="1"/>
  <c r="R460" i="9" l="1"/>
  <c r="S461" i="9" s="1"/>
  <c r="T460" i="9"/>
  <c r="Q461" i="9" l="1"/>
  <c r="R461" i="9" l="1"/>
  <c r="S462" i="9" s="1"/>
  <c r="T461" i="9"/>
  <c r="Q462" i="9" l="1"/>
  <c r="R462" i="9" l="1"/>
  <c r="S463" i="9" s="1"/>
  <c r="T462" i="9"/>
  <c r="Q463" i="9" l="1"/>
  <c r="R463" i="9" l="1"/>
  <c r="S464" i="9" s="1"/>
  <c r="T463" i="9"/>
  <c r="Q464" i="9" l="1"/>
  <c r="R464" i="9" l="1"/>
  <c r="S465" i="9" s="1"/>
  <c r="T464" i="9"/>
  <c r="Q465" i="9" l="1"/>
  <c r="R465" i="9" l="1"/>
  <c r="S466" i="9" s="1"/>
  <c r="T465" i="9"/>
  <c r="Q466" i="9" l="1"/>
  <c r="R466" i="9" l="1"/>
  <c r="S467" i="9" s="1"/>
  <c r="T466" i="9"/>
  <c r="Q467" i="9" l="1"/>
  <c r="R467" i="9" l="1"/>
  <c r="S468" i="9" s="1"/>
  <c r="T467" i="9"/>
  <c r="Q468" i="9" l="1"/>
  <c r="R468" i="9" l="1"/>
  <c r="S469" i="9" s="1"/>
  <c r="T468" i="9"/>
  <c r="Q469" i="9" l="1"/>
  <c r="R469" i="9" l="1"/>
  <c r="S470" i="9" s="1"/>
  <c r="T469" i="9"/>
  <c r="Q470" i="9" l="1"/>
  <c r="R470" i="9" l="1"/>
  <c r="S471" i="9" s="1"/>
  <c r="T470" i="9"/>
  <c r="Q471" i="9" l="1"/>
  <c r="R471" i="9" l="1"/>
  <c r="S472" i="9" s="1"/>
  <c r="T471" i="9"/>
  <c r="Q472" i="9" l="1"/>
  <c r="R472" i="9" l="1"/>
  <c r="S473" i="9" s="1"/>
  <c r="T472" i="9"/>
  <c r="Q473" i="9" l="1"/>
  <c r="R473" i="9" l="1"/>
  <c r="S474" i="9" s="1"/>
  <c r="T473" i="9"/>
  <c r="Q474" i="9" l="1"/>
  <c r="R474" i="9" l="1"/>
  <c r="S475" i="9" s="1"/>
  <c r="T474" i="9"/>
  <c r="Q475" i="9" l="1"/>
  <c r="R475" i="9" l="1"/>
  <c r="S476" i="9" s="1"/>
  <c r="T475" i="9"/>
  <c r="Q476" i="9" l="1"/>
  <c r="R476" i="9" l="1"/>
  <c r="S477" i="9" s="1"/>
  <c r="T476" i="9"/>
  <c r="Q477" i="9" l="1"/>
  <c r="R477" i="9" l="1"/>
  <c r="S478" i="9" s="1"/>
  <c r="T477" i="9"/>
  <c r="Q478" i="9" l="1"/>
  <c r="R478" i="9" l="1"/>
  <c r="S479" i="9" s="1"/>
  <c r="T478" i="9"/>
  <c r="Q479" i="9" l="1"/>
  <c r="R479" i="9" l="1"/>
  <c r="S480" i="9" s="1"/>
  <c r="T479" i="9"/>
  <c r="Q480" i="9" l="1"/>
  <c r="R480" i="9" l="1"/>
  <c r="S481" i="9" s="1"/>
  <c r="T480" i="9"/>
  <c r="Q481" i="9" l="1"/>
  <c r="R481" i="9" l="1"/>
  <c r="S482" i="9" s="1"/>
  <c r="T481" i="9"/>
  <c r="Q482" i="9" l="1"/>
  <c r="R482" i="9" l="1"/>
  <c r="S483" i="9" s="1"/>
  <c r="T482" i="9"/>
  <c r="Q483" i="9" l="1"/>
  <c r="R483" i="9" l="1"/>
  <c r="S484" i="9" s="1"/>
  <c r="T483" i="9"/>
  <c r="Q484" i="9" l="1"/>
  <c r="R484" i="9" l="1"/>
  <c r="S485" i="9" s="1"/>
  <c r="T484" i="9"/>
  <c r="Q485" i="9" l="1"/>
  <c r="R485" i="9" l="1"/>
  <c r="S486" i="9" s="1"/>
  <c r="T485" i="9"/>
  <c r="Q486" i="9" l="1"/>
  <c r="R486" i="9" l="1"/>
  <c r="S487" i="9" s="1"/>
  <c r="T486" i="9"/>
  <c r="Q487" i="9" l="1"/>
  <c r="R487" i="9" l="1"/>
  <c r="S488" i="9" s="1"/>
  <c r="T487" i="9"/>
  <c r="Q488" i="9" l="1"/>
  <c r="R488" i="9" l="1"/>
  <c r="S489" i="9" s="1"/>
  <c r="T488" i="9"/>
  <c r="Q489" i="9" l="1"/>
  <c r="R489" i="9" l="1"/>
  <c r="S490" i="9" s="1"/>
  <c r="T489" i="9"/>
  <c r="Q490" i="9" l="1"/>
  <c r="R490" i="9" l="1"/>
  <c r="S491" i="9" s="1"/>
  <c r="T490" i="9"/>
  <c r="Q491" i="9" l="1"/>
  <c r="R491" i="9" l="1"/>
  <c r="S492" i="9" s="1"/>
  <c r="T491" i="9"/>
  <c r="Q492" i="9" l="1"/>
  <c r="R492" i="9" l="1"/>
  <c r="S493" i="9" s="1"/>
  <c r="T492" i="9"/>
  <c r="Q493" i="9" l="1"/>
  <c r="R493" i="9" l="1"/>
  <c r="S494" i="9" s="1"/>
  <c r="T493" i="9"/>
  <c r="Q494" i="9" l="1"/>
  <c r="R494" i="9" l="1"/>
  <c r="S495" i="9" s="1"/>
  <c r="T494" i="9"/>
  <c r="Q495" i="9" l="1"/>
  <c r="R495" i="9" l="1"/>
  <c r="S496" i="9" s="1"/>
  <c r="T495" i="9"/>
  <c r="Q496" i="9" l="1"/>
  <c r="R496" i="9" l="1"/>
  <c r="S497" i="9" s="1"/>
  <c r="T496" i="9"/>
  <c r="Q497" i="9" l="1"/>
  <c r="R497" i="9" l="1"/>
  <c r="S498" i="9" s="1"/>
  <c r="T497" i="9"/>
  <c r="Q498" i="9" l="1"/>
  <c r="R498" i="9" l="1"/>
  <c r="S499" i="9" s="1"/>
  <c r="T498" i="9"/>
  <c r="Q499" i="9" l="1"/>
  <c r="R499" i="9" l="1"/>
  <c r="S500" i="9" s="1"/>
  <c r="T499" i="9"/>
  <c r="Q500" i="9" l="1"/>
  <c r="R500" i="9" l="1"/>
  <c r="S501" i="9" s="1"/>
  <c r="T500" i="9"/>
  <c r="Q501" i="9" l="1"/>
  <c r="R501" i="9" l="1"/>
  <c r="S502" i="9" s="1"/>
  <c r="T501" i="9"/>
  <c r="Q502" i="9" l="1"/>
  <c r="R502" i="9" l="1"/>
  <c r="S503" i="9" s="1"/>
  <c r="T502" i="9"/>
  <c r="Q503" i="9" l="1"/>
  <c r="R503" i="9" l="1"/>
  <c r="S504" i="9" s="1"/>
  <c r="T503" i="9"/>
  <c r="Q504" i="9" l="1"/>
  <c r="R504" i="9" l="1"/>
  <c r="S505" i="9" s="1"/>
  <c r="T504" i="9"/>
  <c r="Q505" i="9" l="1"/>
  <c r="R505" i="9" l="1"/>
  <c r="S506" i="9" s="1"/>
  <c r="T505" i="9"/>
  <c r="Q506" i="9" l="1"/>
  <c r="R506" i="9" l="1"/>
  <c r="S507" i="9" s="1"/>
  <c r="T506" i="9"/>
  <c r="Q507" i="9" l="1"/>
  <c r="R507" i="9" l="1"/>
  <c r="S508" i="9" s="1"/>
  <c r="T507" i="9"/>
  <c r="Q508" i="9" l="1"/>
  <c r="R508" i="9" l="1"/>
  <c r="S509" i="9" s="1"/>
  <c r="T508" i="9"/>
  <c r="Q509" i="9" l="1"/>
  <c r="R509" i="9" l="1"/>
  <c r="S510" i="9" s="1"/>
  <c r="T509" i="9"/>
  <c r="Q510" i="9" l="1"/>
  <c r="R510" i="9" l="1"/>
  <c r="S511" i="9" s="1"/>
  <c r="T510" i="9"/>
  <c r="Q511" i="9" l="1"/>
  <c r="R511" i="9" l="1"/>
  <c r="S512" i="9" s="1"/>
  <c r="T511" i="9"/>
  <c r="Q512" i="9" l="1"/>
  <c r="R512" i="9" l="1"/>
  <c r="S513" i="9" s="1"/>
  <c r="T512" i="9"/>
  <c r="Q513" i="9" l="1"/>
  <c r="R513" i="9" l="1"/>
  <c r="S514" i="9" s="1"/>
  <c r="T513" i="9"/>
  <c r="Q514" i="9" l="1"/>
  <c r="R514" i="9" l="1"/>
  <c r="S515" i="9" s="1"/>
  <c r="T514" i="9"/>
  <c r="Q515" i="9" l="1"/>
  <c r="R515" i="9" l="1"/>
  <c r="S516" i="9" s="1"/>
  <c r="T515" i="9"/>
  <c r="Q516" i="9" l="1"/>
  <c r="R516" i="9" l="1"/>
  <c r="S517" i="9" s="1"/>
  <c r="T516" i="9"/>
  <c r="Q517" i="9" l="1"/>
  <c r="R517" i="9" l="1"/>
  <c r="S518" i="9" s="1"/>
  <c r="T517" i="9"/>
  <c r="Q518" i="9" l="1"/>
  <c r="R518" i="9" l="1"/>
  <c r="S519" i="9" s="1"/>
  <c r="T518" i="9"/>
  <c r="Q519" i="9" l="1"/>
  <c r="R519" i="9" l="1"/>
  <c r="S520" i="9" s="1"/>
  <c r="T519" i="9"/>
  <c r="Q520" i="9" l="1"/>
  <c r="R520" i="9" l="1"/>
  <c r="S521" i="9" s="1"/>
  <c r="T520" i="9"/>
  <c r="Q521" i="9" l="1"/>
  <c r="R521" i="9" l="1"/>
  <c r="S522" i="9" s="1"/>
  <c r="T521" i="9"/>
  <c r="Q522" i="9" l="1"/>
  <c r="R522" i="9" l="1"/>
  <c r="S523" i="9" s="1"/>
  <c r="T522" i="9"/>
  <c r="Q523" i="9" l="1"/>
  <c r="R523" i="9" l="1"/>
  <c r="S524" i="9" s="1"/>
  <c r="T523" i="9"/>
  <c r="Q524" i="9" l="1"/>
  <c r="R524" i="9" l="1"/>
  <c r="S525" i="9" s="1"/>
  <c r="T524" i="9"/>
  <c r="Q525" i="9" l="1"/>
  <c r="R525" i="9" l="1"/>
  <c r="S526" i="9" s="1"/>
  <c r="T525" i="9"/>
  <c r="Q526" i="9" l="1"/>
  <c r="R526" i="9" l="1"/>
  <c r="S527" i="9" s="1"/>
  <c r="T526" i="9"/>
  <c r="Q527" i="9" l="1"/>
  <c r="R527" i="9" l="1"/>
  <c r="S528" i="9" s="1"/>
  <c r="T527" i="9"/>
  <c r="Q528" i="9" l="1"/>
  <c r="R528" i="9" l="1"/>
  <c r="S529" i="9" s="1"/>
  <c r="T528" i="9"/>
  <c r="Q529" i="9" l="1"/>
  <c r="R529" i="9" l="1"/>
  <c r="S530" i="9" s="1"/>
  <c r="T529" i="9"/>
  <c r="Q530" i="9" l="1"/>
  <c r="R530" i="9" l="1"/>
  <c r="S531" i="9" s="1"/>
  <c r="T530" i="9"/>
  <c r="Q531" i="9" l="1"/>
  <c r="R531" i="9" l="1"/>
  <c r="S532" i="9" s="1"/>
  <c r="T531" i="9"/>
  <c r="Q532" i="9" l="1"/>
  <c r="R532" i="9" l="1"/>
  <c r="S533" i="9" s="1"/>
  <c r="T532" i="9"/>
  <c r="Q533" i="9" l="1"/>
  <c r="R533" i="9" l="1"/>
  <c r="S534" i="9" s="1"/>
  <c r="T533" i="9"/>
  <c r="Q534" i="9" l="1"/>
  <c r="R534" i="9" l="1"/>
  <c r="S535" i="9" s="1"/>
  <c r="T534" i="9"/>
  <c r="Q535" i="9" l="1"/>
  <c r="T535" i="9" l="1"/>
  <c r="R535" i="9"/>
  <c r="S536" i="9" s="1"/>
  <c r="Q536" i="9" l="1"/>
  <c r="R536" i="9" l="1"/>
  <c r="S537" i="9" s="1"/>
  <c r="T536" i="9"/>
  <c r="Q537" i="9" l="1"/>
  <c r="T537" i="9" l="1"/>
  <c r="R537" i="9"/>
  <c r="S538" i="9" s="1"/>
  <c r="Q538" i="9" l="1"/>
  <c r="R538" i="9" l="1"/>
  <c r="S539" i="9" s="1"/>
  <c r="T538" i="9"/>
  <c r="Q539" i="9" l="1"/>
  <c r="T539" i="9" l="1"/>
  <c r="R539" i="9"/>
  <c r="S540" i="9" s="1"/>
  <c r="Q540" i="9" l="1"/>
  <c r="R540" i="9" l="1"/>
  <c r="S541" i="9" s="1"/>
  <c r="T540" i="9"/>
  <c r="Q541" i="9" l="1"/>
  <c r="T541" i="9" l="1"/>
  <c r="R541" i="9"/>
  <c r="S542" i="9" s="1"/>
  <c r="Q542" i="9" l="1"/>
  <c r="R542" i="9" l="1"/>
  <c r="S543" i="9" s="1"/>
  <c r="T542" i="9"/>
  <c r="Q543" i="9" l="1"/>
  <c r="T543" i="9" l="1"/>
  <c r="R543" i="9"/>
  <c r="S544" i="9" s="1"/>
  <c r="Q544" i="9" l="1"/>
  <c r="R544" i="9" l="1"/>
  <c r="S545" i="9" s="1"/>
  <c r="T544" i="9"/>
  <c r="Q545" i="9" l="1"/>
  <c r="T545" i="9" l="1"/>
  <c r="R545" i="9"/>
  <c r="S546" i="9" s="1"/>
  <c r="Q546" i="9" l="1"/>
  <c r="R546" i="9" l="1"/>
  <c r="S547" i="9" s="1"/>
  <c r="T546" i="9"/>
  <c r="Q547" i="9" l="1"/>
  <c r="T547" i="9" l="1"/>
  <c r="R547" i="9"/>
  <c r="S548" i="9" s="1"/>
  <c r="Q548" i="9" l="1"/>
  <c r="R548" i="9" l="1"/>
  <c r="S549" i="9" s="1"/>
  <c r="T548" i="9"/>
  <c r="Q549" i="9" l="1"/>
  <c r="T549" i="9" l="1"/>
  <c r="R549" i="9"/>
  <c r="S550" i="9" s="1"/>
  <c r="Q550" i="9" l="1"/>
  <c r="R550" i="9" l="1"/>
  <c r="S551" i="9" s="1"/>
  <c r="T550" i="9"/>
  <c r="Q551" i="9" l="1"/>
  <c r="T551" i="9" l="1"/>
  <c r="R551" i="9"/>
  <c r="S552" i="9" s="1"/>
  <c r="Q552" i="9" l="1"/>
  <c r="R552" i="9" l="1"/>
  <c r="S553" i="9" s="1"/>
  <c r="T552" i="9"/>
  <c r="Q553" i="9" l="1"/>
  <c r="T553" i="9" l="1"/>
  <c r="R553" i="9"/>
  <c r="S554" i="9" s="1"/>
  <c r="Q554" i="9" l="1"/>
  <c r="R554" i="9" l="1"/>
  <c r="S555" i="9" s="1"/>
  <c r="T554" i="9"/>
  <c r="Q555" i="9" l="1"/>
  <c r="T555" i="9" l="1"/>
  <c r="R555" i="9"/>
  <c r="S556" i="9" s="1"/>
  <c r="Q556" i="9" l="1"/>
  <c r="R556" i="9" l="1"/>
  <c r="S557" i="9" s="1"/>
  <c r="T556" i="9"/>
  <c r="Q557" i="9" l="1"/>
  <c r="T557" i="9" l="1"/>
  <c r="R557" i="9"/>
  <c r="S558" i="9" s="1"/>
  <c r="Q558" i="9" l="1"/>
  <c r="R558" i="9" l="1"/>
  <c r="S559" i="9" s="1"/>
  <c r="T558" i="9"/>
  <c r="Q559" i="9" l="1"/>
  <c r="T559" i="9" l="1"/>
  <c r="R559" i="9"/>
  <c r="S560" i="9" s="1"/>
  <c r="Q560" i="9" l="1"/>
  <c r="R560" i="9" l="1"/>
  <c r="S561" i="9" s="1"/>
  <c r="T560" i="9"/>
  <c r="Q561" i="9" l="1"/>
  <c r="T561" i="9" l="1"/>
  <c r="R561" i="9"/>
  <c r="S562" i="9" s="1"/>
  <c r="Q562" i="9" l="1"/>
  <c r="R562" i="9" l="1"/>
  <c r="S563" i="9" s="1"/>
  <c r="T562" i="9"/>
  <c r="Q563" i="9" l="1"/>
  <c r="T563" i="9" l="1"/>
  <c r="R563" i="9"/>
  <c r="S564" i="9" s="1"/>
  <c r="Q564" i="9" l="1"/>
  <c r="R564" i="9" l="1"/>
  <c r="S565" i="9" s="1"/>
  <c r="T564" i="9"/>
  <c r="Q565" i="9" l="1"/>
  <c r="T565" i="9" l="1"/>
  <c r="R565" i="9"/>
  <c r="S566" i="9" s="1"/>
  <c r="Q566" i="9" l="1"/>
  <c r="R566" i="9" l="1"/>
  <c r="S567" i="9" s="1"/>
  <c r="T566" i="9"/>
  <c r="Q567" i="9" l="1"/>
  <c r="T567" i="9" l="1"/>
  <c r="R567" i="9"/>
  <c r="S568" i="9" s="1"/>
  <c r="Q568" i="9" l="1"/>
  <c r="R568" i="9" l="1"/>
  <c r="S569" i="9" s="1"/>
  <c r="T568" i="9"/>
  <c r="Q569" i="9" l="1"/>
  <c r="T569" i="9" l="1"/>
  <c r="R569" i="9"/>
  <c r="S570" i="9" s="1"/>
  <c r="Q570" i="9" l="1"/>
  <c r="R570" i="9" l="1"/>
  <c r="S571" i="9" s="1"/>
  <c r="T570" i="9"/>
  <c r="Q571" i="9" l="1"/>
  <c r="T571" i="9" l="1"/>
  <c r="R571" i="9"/>
  <c r="S572" i="9" s="1"/>
  <c r="Q572" i="9" l="1"/>
  <c r="R572" i="9" l="1"/>
  <c r="S573" i="9" s="1"/>
  <c r="T572" i="9"/>
  <c r="Q573" i="9" l="1"/>
  <c r="R573" i="9" l="1"/>
  <c r="S574" i="9" s="1"/>
  <c r="T573" i="9"/>
  <c r="Q574" i="9" l="1"/>
  <c r="R574" i="9" l="1"/>
  <c r="S575" i="9" s="1"/>
  <c r="T574" i="9"/>
  <c r="Q575" i="9" l="1"/>
  <c r="R575" i="9" l="1"/>
  <c r="S576" i="9" s="1"/>
  <c r="T575" i="9"/>
  <c r="Q576" i="9" l="1"/>
  <c r="R576" i="9" l="1"/>
  <c r="S577" i="9" s="1"/>
  <c r="T576" i="9"/>
  <c r="Q577" i="9" l="1"/>
  <c r="R577" i="9" l="1"/>
  <c r="S578" i="9" s="1"/>
  <c r="T577" i="9"/>
  <c r="Q578" i="9" l="1"/>
  <c r="R578" i="9" l="1"/>
  <c r="S579" i="9" s="1"/>
  <c r="T578" i="9"/>
  <c r="Q579" i="9" l="1"/>
  <c r="R579" i="9" l="1"/>
  <c r="S580" i="9" s="1"/>
  <c r="T579" i="9"/>
  <c r="Q580" i="9" l="1"/>
  <c r="R580" i="9" l="1"/>
  <c r="S581" i="9" s="1"/>
  <c r="T580" i="9"/>
  <c r="Q581" i="9" l="1"/>
  <c r="R581" i="9" l="1"/>
  <c r="S582" i="9" s="1"/>
  <c r="T581" i="9"/>
  <c r="Q582" i="9" l="1"/>
  <c r="R582" i="9" l="1"/>
  <c r="S583" i="9" s="1"/>
  <c r="T582" i="9"/>
  <c r="Q583" i="9" l="1"/>
  <c r="R583" i="9" l="1"/>
  <c r="S584" i="9" s="1"/>
  <c r="T583" i="9"/>
  <c r="Q584" i="9" l="1"/>
  <c r="R584" i="9" l="1"/>
  <c r="S585" i="9" s="1"/>
  <c r="T584" i="9"/>
  <c r="Q585" i="9" l="1"/>
  <c r="R585" i="9" l="1"/>
  <c r="S586" i="9" s="1"/>
  <c r="T585" i="9"/>
  <c r="Q586" i="9" l="1"/>
  <c r="R586" i="9" l="1"/>
  <c r="S587" i="9" s="1"/>
  <c r="T586" i="9"/>
  <c r="Q587" i="9" l="1"/>
  <c r="R587" i="9" l="1"/>
  <c r="S588" i="9" s="1"/>
  <c r="T587" i="9"/>
  <c r="Q588" i="9" l="1"/>
  <c r="R588" i="9" l="1"/>
  <c r="S589" i="9" s="1"/>
  <c r="T588" i="9"/>
  <c r="Q589" i="9" l="1"/>
  <c r="R589" i="9" l="1"/>
  <c r="S590" i="9" s="1"/>
  <c r="T589" i="9"/>
  <c r="Q590" i="9" l="1"/>
  <c r="R590" i="9" l="1"/>
  <c r="S591" i="9" s="1"/>
  <c r="T590" i="9"/>
  <c r="Q591" i="9" l="1"/>
  <c r="R591" i="9" l="1"/>
  <c r="S592" i="9" s="1"/>
  <c r="T591" i="9"/>
  <c r="Q592" i="9" l="1"/>
  <c r="R592" i="9" l="1"/>
  <c r="S593" i="9" s="1"/>
  <c r="T592" i="9"/>
  <c r="Q593" i="9" l="1"/>
  <c r="R593" i="9" l="1"/>
  <c r="S594" i="9" s="1"/>
  <c r="T593" i="9"/>
  <c r="Q594" i="9" l="1"/>
  <c r="R594" i="9" l="1"/>
  <c r="S595" i="9" s="1"/>
  <c r="T594" i="9"/>
  <c r="Q595" i="9" l="1"/>
  <c r="R595" i="9" l="1"/>
  <c r="S596" i="9" s="1"/>
  <c r="T595" i="9"/>
  <c r="Q596" i="9" l="1"/>
  <c r="R596" i="9" l="1"/>
  <c r="S597" i="9" s="1"/>
  <c r="T596" i="9"/>
  <c r="Q597" i="9" l="1"/>
  <c r="R597" i="9" l="1"/>
  <c r="S598" i="9" s="1"/>
  <c r="T597" i="9"/>
  <c r="Q598" i="9" l="1"/>
  <c r="R598" i="9" l="1"/>
  <c r="S599" i="9" s="1"/>
  <c r="T598" i="9"/>
  <c r="Q599" i="9" l="1"/>
  <c r="R599" i="9" l="1"/>
  <c r="S600" i="9" s="1"/>
  <c r="T599" i="9"/>
  <c r="Q600" i="9" l="1"/>
  <c r="R600" i="9" l="1"/>
  <c r="S601" i="9" s="1"/>
  <c r="T600" i="9"/>
  <c r="Q601" i="9" l="1"/>
  <c r="R601" i="9" l="1"/>
  <c r="S602" i="9" s="1"/>
  <c r="T601" i="9"/>
  <c r="Q602" i="9" l="1"/>
  <c r="R602" i="9" l="1"/>
  <c r="S603" i="9" s="1"/>
  <c r="T602" i="9"/>
  <c r="Q603" i="9" l="1"/>
  <c r="R603" i="9" l="1"/>
  <c r="S604" i="9" s="1"/>
  <c r="T603" i="9"/>
  <c r="Q604" i="9" l="1"/>
  <c r="R604" i="9" l="1"/>
  <c r="S605" i="9" s="1"/>
  <c r="T604" i="9"/>
  <c r="Q605" i="9" l="1"/>
  <c r="R605" i="9" l="1"/>
  <c r="S606" i="9" s="1"/>
  <c r="T605" i="9"/>
  <c r="Q606" i="9" l="1"/>
  <c r="R606" i="9" l="1"/>
  <c r="S607" i="9" s="1"/>
  <c r="T606" i="9"/>
  <c r="Q607" i="9" l="1"/>
  <c r="R607" i="9" l="1"/>
  <c r="S608" i="9" s="1"/>
  <c r="T607" i="9"/>
  <c r="Q608" i="9" l="1"/>
  <c r="R608" i="9" l="1"/>
  <c r="S609" i="9" s="1"/>
  <c r="T608" i="9"/>
  <c r="Q609" i="9" l="1"/>
  <c r="R609" i="9" l="1"/>
  <c r="S610" i="9" s="1"/>
  <c r="T609" i="9"/>
  <c r="Q610" i="9" l="1"/>
  <c r="R610" i="9" l="1"/>
  <c r="S611" i="9" s="1"/>
  <c r="T610" i="9"/>
  <c r="Q611" i="9" l="1"/>
  <c r="R611" i="9" l="1"/>
  <c r="S612" i="9" s="1"/>
  <c r="T611" i="9"/>
  <c r="Q612" i="9" l="1"/>
  <c r="R612" i="9" l="1"/>
  <c r="S613" i="9" s="1"/>
  <c r="T612" i="9"/>
  <c r="Q613" i="9" l="1"/>
  <c r="R613" i="9" l="1"/>
  <c r="S614" i="9" s="1"/>
  <c r="T613" i="9"/>
  <c r="Q614" i="9" l="1"/>
  <c r="R614" i="9" l="1"/>
  <c r="S615" i="9" s="1"/>
  <c r="T614" i="9"/>
  <c r="Q615" i="9" l="1"/>
  <c r="R615" i="9" l="1"/>
  <c r="S616" i="9" s="1"/>
  <c r="T615" i="9"/>
  <c r="Q616" i="9" l="1"/>
  <c r="R616" i="9" l="1"/>
  <c r="S617" i="9" s="1"/>
  <c r="T616" i="9"/>
  <c r="Q617" i="9" l="1"/>
  <c r="R617" i="9" l="1"/>
  <c r="S618" i="9" s="1"/>
  <c r="T617" i="9"/>
  <c r="Q618" i="9" l="1"/>
  <c r="R618" i="9" l="1"/>
  <c r="S619" i="9" s="1"/>
  <c r="T618" i="9"/>
  <c r="Q619" i="9" l="1"/>
  <c r="R619" i="9" l="1"/>
  <c r="S620" i="9" s="1"/>
  <c r="T619" i="9"/>
  <c r="Q620" i="9" l="1"/>
  <c r="R620" i="9" l="1"/>
  <c r="S621" i="9" s="1"/>
  <c r="T620" i="9"/>
  <c r="Q621" i="9" l="1"/>
  <c r="R621" i="9" l="1"/>
  <c r="S622" i="9" s="1"/>
  <c r="T621" i="9"/>
  <c r="Q622" i="9" l="1"/>
  <c r="R622" i="9" l="1"/>
  <c r="S623" i="9" s="1"/>
  <c r="T622" i="9"/>
  <c r="Q623" i="9" l="1"/>
  <c r="R623" i="9" l="1"/>
  <c r="S624" i="9" s="1"/>
  <c r="T623" i="9"/>
  <c r="Q624" i="9" l="1"/>
  <c r="R624" i="9" l="1"/>
  <c r="S625" i="9" s="1"/>
  <c r="T624" i="9"/>
  <c r="Q625" i="9" l="1"/>
  <c r="R625" i="9" l="1"/>
  <c r="S626" i="9" s="1"/>
  <c r="T625" i="9"/>
  <c r="Q626" i="9" l="1"/>
  <c r="R626" i="9" l="1"/>
  <c r="S627" i="9" s="1"/>
  <c r="T626" i="9"/>
  <c r="Q627" i="9" l="1"/>
  <c r="R627" i="9" l="1"/>
  <c r="S628" i="9" s="1"/>
  <c r="T627" i="9"/>
  <c r="Q628" i="9" l="1"/>
  <c r="R628" i="9" l="1"/>
  <c r="S629" i="9" s="1"/>
  <c r="T628" i="9"/>
  <c r="Q629" i="9" l="1"/>
  <c r="T629" i="9" l="1"/>
  <c r="R629" i="9"/>
  <c r="S630" i="9" s="1"/>
  <c r="Q630" i="9" l="1"/>
  <c r="R630" i="9" l="1"/>
  <c r="S631" i="9" s="1"/>
  <c r="T630" i="9"/>
  <c r="Q631" i="9" l="1"/>
  <c r="R631" i="9" l="1"/>
  <c r="S632" i="9" s="1"/>
  <c r="T631" i="9"/>
  <c r="Q632" i="9" l="1"/>
  <c r="R632" i="9" l="1"/>
  <c r="S633" i="9" s="1"/>
  <c r="T632" i="9"/>
  <c r="Q633" i="9" l="1"/>
  <c r="T633" i="9" l="1"/>
  <c r="R633" i="9"/>
  <c r="S634" i="9" s="1"/>
  <c r="Q634" i="9" l="1"/>
  <c r="R634" i="9" l="1"/>
  <c r="S635" i="9" s="1"/>
  <c r="T634" i="9"/>
  <c r="Q635" i="9" l="1"/>
  <c r="R635" i="9" l="1"/>
  <c r="S636" i="9" s="1"/>
  <c r="T635" i="9"/>
  <c r="Q636" i="9" l="1"/>
  <c r="R636" i="9" l="1"/>
  <c r="S637" i="9" s="1"/>
  <c r="T636" i="9"/>
  <c r="Q637" i="9" l="1"/>
  <c r="T637" i="9" l="1"/>
  <c r="R637" i="9"/>
  <c r="S638" i="9" s="1"/>
  <c r="Q638" i="9" l="1"/>
  <c r="R638" i="9" l="1"/>
  <c r="S639" i="9" s="1"/>
  <c r="T638" i="9"/>
  <c r="Q639" i="9" l="1"/>
  <c r="R639" i="9" l="1"/>
  <c r="S640" i="9" s="1"/>
  <c r="T639" i="9"/>
  <c r="Q640" i="9" l="1"/>
  <c r="R640" i="9" l="1"/>
  <c r="S641" i="9" s="1"/>
  <c r="T640" i="9"/>
  <c r="Q641" i="9" l="1"/>
  <c r="T641" i="9" l="1"/>
  <c r="R641" i="9"/>
  <c r="S642" i="9" s="1"/>
  <c r="Q642" i="9" l="1"/>
  <c r="R642" i="9" l="1"/>
  <c r="S643" i="9" s="1"/>
  <c r="T642" i="9"/>
  <c r="Q643" i="9" l="1"/>
  <c r="R643" i="9" l="1"/>
  <c r="S644" i="9" s="1"/>
  <c r="T643" i="9"/>
  <c r="Q644" i="9" l="1"/>
  <c r="R644" i="9" l="1"/>
  <c r="S645" i="9" s="1"/>
  <c r="T644" i="9"/>
  <c r="Q645" i="9" l="1"/>
  <c r="T645" i="9" l="1"/>
  <c r="R645" i="9"/>
  <c r="S646" i="9" s="1"/>
  <c r="Q646" i="9" l="1"/>
  <c r="R646" i="9" l="1"/>
  <c r="S647" i="9" s="1"/>
  <c r="T646" i="9"/>
  <c r="Q647" i="9" l="1"/>
  <c r="R647" i="9" l="1"/>
  <c r="S648" i="9" s="1"/>
  <c r="T647" i="9"/>
  <c r="Q648" i="9" l="1"/>
  <c r="R648" i="9" l="1"/>
  <c r="S649" i="9" s="1"/>
  <c r="T648" i="9"/>
  <c r="Q649" i="9" l="1"/>
  <c r="R649" i="9" l="1"/>
  <c r="S650" i="9" s="1"/>
  <c r="T649" i="9"/>
  <c r="Q650" i="9" l="1"/>
  <c r="R650" i="9" l="1"/>
  <c r="S651" i="9" s="1"/>
  <c r="T650" i="9"/>
  <c r="Q651" i="9" l="1"/>
  <c r="R651" i="9" l="1"/>
  <c r="S652" i="9" s="1"/>
  <c r="T651" i="9"/>
  <c r="Q652" i="9" l="1"/>
  <c r="R652" i="9" l="1"/>
  <c r="S653" i="9" s="1"/>
  <c r="T652" i="9"/>
  <c r="Q653" i="9" l="1"/>
  <c r="R653" i="9" l="1"/>
  <c r="S654" i="9" s="1"/>
  <c r="T653" i="9"/>
  <c r="Q654" i="9" l="1"/>
  <c r="R654" i="9" l="1"/>
  <c r="S655" i="9" s="1"/>
  <c r="T654" i="9"/>
  <c r="Q655" i="9" l="1"/>
  <c r="R655" i="9" l="1"/>
  <c r="S656" i="9" s="1"/>
  <c r="T655" i="9"/>
  <c r="Q656" i="9" l="1"/>
  <c r="R656" i="9" l="1"/>
  <c r="S657" i="9" s="1"/>
  <c r="T656" i="9"/>
  <c r="Q657" i="9" l="1"/>
  <c r="R657" i="9" l="1"/>
  <c r="S658" i="9" s="1"/>
  <c r="T657" i="9"/>
  <c r="Q658" i="9" l="1"/>
  <c r="R658" i="9" l="1"/>
  <c r="S659" i="9" s="1"/>
  <c r="T658" i="9"/>
  <c r="Q659" i="9" l="1"/>
  <c r="R659" i="9" l="1"/>
  <c r="S660" i="9" s="1"/>
  <c r="T659" i="9"/>
  <c r="Q660" i="9" l="1"/>
  <c r="R660" i="9" l="1"/>
  <c r="S661" i="9" s="1"/>
  <c r="T660" i="9"/>
  <c r="Q661" i="9" l="1"/>
  <c r="R661" i="9" l="1"/>
  <c r="S662" i="9" s="1"/>
  <c r="T661" i="9"/>
  <c r="Q662" i="9" l="1"/>
  <c r="R662" i="9" l="1"/>
  <c r="S663" i="9" s="1"/>
  <c r="T662" i="9"/>
  <c r="Q663" i="9" l="1"/>
  <c r="R663" i="9" l="1"/>
  <c r="S664" i="9" s="1"/>
  <c r="T663" i="9"/>
  <c r="Q664" i="9" l="1"/>
  <c r="R664" i="9" l="1"/>
  <c r="S665" i="9" s="1"/>
  <c r="T664" i="9"/>
  <c r="Q665" i="9" l="1"/>
  <c r="R665" i="9" l="1"/>
  <c r="S666" i="9" s="1"/>
  <c r="T665" i="9"/>
  <c r="Q666" i="9" l="1"/>
  <c r="R666" i="9" l="1"/>
  <c r="S667" i="9" s="1"/>
  <c r="T666" i="9"/>
  <c r="Q667" i="9" l="1"/>
  <c r="R667" i="9" l="1"/>
  <c r="S668" i="9" s="1"/>
  <c r="T667" i="9"/>
  <c r="Q668" i="9" l="1"/>
  <c r="R668" i="9" l="1"/>
  <c r="S669" i="9" s="1"/>
  <c r="T668" i="9"/>
  <c r="Q669" i="9" l="1"/>
  <c r="R669" i="9" l="1"/>
  <c r="S670" i="9" s="1"/>
  <c r="T669" i="9"/>
  <c r="Q670" i="9" l="1"/>
  <c r="R670" i="9" l="1"/>
  <c r="S671" i="9" s="1"/>
  <c r="T670" i="9"/>
  <c r="Q671" i="9" l="1"/>
  <c r="R671" i="9" l="1"/>
  <c r="S672" i="9" s="1"/>
  <c r="T671" i="9"/>
  <c r="Q672" i="9" l="1"/>
  <c r="R672" i="9" l="1"/>
  <c r="S673" i="9" s="1"/>
  <c r="T672" i="9"/>
  <c r="Q673" i="9" l="1"/>
  <c r="R673" i="9" l="1"/>
  <c r="S674" i="9" s="1"/>
  <c r="T673" i="9"/>
  <c r="Q674" i="9" l="1"/>
  <c r="R674" i="9" l="1"/>
  <c r="S675" i="9" s="1"/>
  <c r="T674" i="9"/>
  <c r="Q675" i="9" l="1"/>
  <c r="R675" i="9" l="1"/>
  <c r="S676" i="9" s="1"/>
  <c r="T675" i="9"/>
  <c r="Q676" i="9" l="1"/>
  <c r="R676" i="9" l="1"/>
  <c r="S677" i="9" s="1"/>
  <c r="T676" i="9"/>
  <c r="Q677" i="9" l="1"/>
  <c r="R677" i="9" l="1"/>
  <c r="S678" i="9" s="1"/>
  <c r="T677" i="9"/>
  <c r="Q678" i="9" l="1"/>
  <c r="R678" i="9" l="1"/>
  <c r="S679" i="9" s="1"/>
  <c r="T678" i="9"/>
  <c r="Q679" i="9" l="1"/>
  <c r="R679" i="9" l="1"/>
  <c r="S680" i="9" s="1"/>
  <c r="T679" i="9"/>
  <c r="Q680" i="9" l="1"/>
  <c r="R680" i="9" l="1"/>
  <c r="S681" i="9" s="1"/>
  <c r="T680" i="9"/>
  <c r="Q681" i="9" l="1"/>
  <c r="R681" i="9" l="1"/>
  <c r="S682" i="9" s="1"/>
  <c r="T681" i="9"/>
  <c r="Q682" i="9" l="1"/>
  <c r="R682" i="9" l="1"/>
  <c r="S683" i="9" s="1"/>
  <c r="T682" i="9"/>
  <c r="Q683" i="9" l="1"/>
  <c r="R683" i="9" l="1"/>
  <c r="S684" i="9" s="1"/>
  <c r="T683" i="9"/>
  <c r="Q684" i="9" l="1"/>
  <c r="R684" i="9" l="1"/>
  <c r="S685" i="9" s="1"/>
  <c r="T684" i="9"/>
  <c r="Q685" i="9" l="1"/>
  <c r="R685" i="9" l="1"/>
  <c r="S686" i="9" s="1"/>
  <c r="T685" i="9"/>
  <c r="Q686" i="9" l="1"/>
  <c r="R686" i="9" l="1"/>
  <c r="S687" i="9" s="1"/>
  <c r="T686" i="9"/>
  <c r="Q687" i="9" l="1"/>
  <c r="R687" i="9" l="1"/>
  <c r="S688" i="9" s="1"/>
  <c r="T687" i="9"/>
  <c r="Q688" i="9" l="1"/>
  <c r="R688" i="9" l="1"/>
  <c r="S689" i="9" s="1"/>
  <c r="T688" i="9"/>
  <c r="Q689" i="9" l="1"/>
  <c r="R689" i="9" l="1"/>
  <c r="S690" i="9" s="1"/>
  <c r="T689" i="9"/>
  <c r="Q690" i="9" l="1"/>
  <c r="R690" i="9" l="1"/>
  <c r="S691" i="9" s="1"/>
  <c r="T690" i="9"/>
  <c r="Q691" i="9" l="1"/>
  <c r="R691" i="9" l="1"/>
  <c r="S692" i="9" s="1"/>
  <c r="T691" i="9"/>
  <c r="Q692" i="9" l="1"/>
  <c r="R692" i="9" l="1"/>
  <c r="S693" i="9" s="1"/>
  <c r="T692" i="9"/>
  <c r="Q693" i="9" l="1"/>
  <c r="R693" i="9" l="1"/>
  <c r="S694" i="9" s="1"/>
  <c r="T693" i="9"/>
  <c r="Q694" i="9" l="1"/>
  <c r="R694" i="9" l="1"/>
  <c r="S695" i="9" s="1"/>
  <c r="T694" i="9"/>
  <c r="Q695" i="9" l="1"/>
  <c r="R695" i="9" l="1"/>
  <c r="S696" i="9" s="1"/>
  <c r="T695" i="9"/>
  <c r="Q696" i="9" l="1"/>
  <c r="R696" i="9" l="1"/>
  <c r="S697" i="9" s="1"/>
  <c r="T696" i="9"/>
  <c r="Q697" i="9" l="1"/>
  <c r="R697" i="9" l="1"/>
  <c r="S698" i="9" s="1"/>
  <c r="T697" i="9"/>
  <c r="Q698" i="9" l="1"/>
  <c r="R698" i="9" l="1"/>
  <c r="S699" i="9" s="1"/>
  <c r="T698" i="9"/>
  <c r="Q699" i="9" l="1"/>
  <c r="R699" i="9" l="1"/>
  <c r="S700" i="9" s="1"/>
  <c r="T699" i="9"/>
  <c r="Q700" i="9" l="1"/>
  <c r="R700" i="9" l="1"/>
  <c r="S701" i="9" s="1"/>
  <c r="T700" i="9"/>
  <c r="Q701" i="9" l="1"/>
  <c r="R701" i="9" l="1"/>
  <c r="S702" i="9" s="1"/>
  <c r="T701" i="9"/>
  <c r="Q702" i="9" l="1"/>
  <c r="R702" i="9" l="1"/>
  <c r="S703" i="9" s="1"/>
  <c r="T702" i="9"/>
  <c r="Q703" i="9" l="1"/>
  <c r="R703" i="9" l="1"/>
  <c r="S704" i="9" s="1"/>
  <c r="T703" i="9"/>
  <c r="Q704" i="9" l="1"/>
  <c r="R704" i="9" l="1"/>
  <c r="S705" i="9" s="1"/>
  <c r="T704" i="9"/>
  <c r="Q705" i="9" l="1"/>
  <c r="R705" i="9" l="1"/>
  <c r="S706" i="9" s="1"/>
  <c r="T705" i="9"/>
  <c r="Q706" i="9" l="1"/>
  <c r="R706" i="9" l="1"/>
  <c r="S707" i="9" s="1"/>
  <c r="T706" i="9"/>
  <c r="Q707" i="9" l="1"/>
  <c r="R707" i="9" l="1"/>
  <c r="S708" i="9" s="1"/>
  <c r="T707" i="9"/>
  <c r="Q708" i="9" l="1"/>
  <c r="R708" i="9" l="1"/>
  <c r="S709" i="9" s="1"/>
  <c r="T708" i="9"/>
  <c r="Q709" i="9" l="1"/>
  <c r="R709" i="9" l="1"/>
  <c r="S710" i="9" s="1"/>
  <c r="T709" i="9"/>
  <c r="Q710" i="9" l="1"/>
  <c r="R710" i="9" l="1"/>
  <c r="S711" i="9" s="1"/>
  <c r="T710" i="9"/>
  <c r="Q711" i="9" l="1"/>
  <c r="R711" i="9" l="1"/>
  <c r="S712" i="9" s="1"/>
  <c r="T711" i="9"/>
  <c r="Q712" i="9" l="1"/>
  <c r="R712" i="9" l="1"/>
  <c r="S713" i="9" s="1"/>
  <c r="T712" i="9"/>
  <c r="Q713" i="9" l="1"/>
  <c r="R713" i="9" l="1"/>
  <c r="S714" i="9" s="1"/>
  <c r="T713" i="9"/>
  <c r="Q714" i="9" l="1"/>
  <c r="R714" i="9" l="1"/>
  <c r="S715" i="9" s="1"/>
  <c r="T714" i="9"/>
  <c r="Q715" i="9" l="1"/>
  <c r="R715" i="9" l="1"/>
  <c r="S716" i="9" s="1"/>
  <c r="T715" i="9"/>
  <c r="Q716" i="9" l="1"/>
  <c r="R716" i="9" l="1"/>
  <c r="S717" i="9" s="1"/>
  <c r="T716" i="9"/>
  <c r="Q717" i="9" l="1"/>
  <c r="R717" i="9" l="1"/>
  <c r="S718" i="9" s="1"/>
  <c r="T717" i="9"/>
  <c r="Q718" i="9" l="1"/>
  <c r="R718" i="9" l="1"/>
  <c r="S719" i="9" s="1"/>
  <c r="T718" i="9"/>
  <c r="Q719" i="9" l="1"/>
  <c r="R719" i="9" l="1"/>
  <c r="S720" i="9" s="1"/>
  <c r="T719" i="9"/>
  <c r="Q720" i="9" l="1"/>
  <c r="R720" i="9" l="1"/>
  <c r="S721" i="9" s="1"/>
  <c r="T720" i="9"/>
  <c r="Q721" i="9" l="1"/>
  <c r="R721" i="9" l="1"/>
  <c r="S722" i="9" s="1"/>
  <c r="T721" i="9"/>
  <c r="Q722" i="9" l="1"/>
  <c r="R722" i="9" l="1"/>
  <c r="S723" i="9" s="1"/>
  <c r="T722" i="9"/>
  <c r="Q723" i="9" l="1"/>
  <c r="R723" i="9" l="1"/>
  <c r="S724" i="9" s="1"/>
  <c r="T723" i="9"/>
  <c r="Q724" i="9" l="1"/>
  <c r="R724" i="9" l="1"/>
  <c r="S725" i="9" s="1"/>
  <c r="T724" i="9"/>
  <c r="Q725" i="9" l="1"/>
  <c r="R725" i="9" l="1"/>
  <c r="S726" i="9" s="1"/>
  <c r="T725" i="9"/>
  <c r="Q726" i="9" l="1"/>
  <c r="R726" i="9" l="1"/>
  <c r="S727" i="9" s="1"/>
  <c r="T726" i="9"/>
  <c r="Q727" i="9" l="1"/>
  <c r="R727" i="9" l="1"/>
  <c r="S728" i="9" s="1"/>
  <c r="T727" i="9"/>
  <c r="Q728" i="9" l="1"/>
  <c r="R728" i="9" l="1"/>
  <c r="S729" i="9" s="1"/>
  <c r="T728" i="9"/>
  <c r="Q729" i="9" l="1"/>
  <c r="R729" i="9" l="1"/>
  <c r="S730" i="9" s="1"/>
  <c r="T729" i="9"/>
  <c r="Q730" i="9" l="1"/>
  <c r="R730" i="9" l="1"/>
  <c r="S731" i="9" s="1"/>
  <c r="T730" i="9"/>
  <c r="Q731" i="9" l="1"/>
  <c r="R731" i="9" l="1"/>
  <c r="S732" i="9" s="1"/>
  <c r="T731" i="9"/>
  <c r="Q732" i="9" l="1"/>
  <c r="R732" i="9" l="1"/>
  <c r="S733" i="9" s="1"/>
  <c r="T732" i="9"/>
  <c r="Q733" i="9" l="1"/>
  <c r="R733" i="9" l="1"/>
  <c r="S734" i="9" s="1"/>
  <c r="T733" i="9"/>
  <c r="Q734" i="9" l="1"/>
  <c r="R734" i="9" l="1"/>
  <c r="S735" i="9" s="1"/>
  <c r="T734" i="9"/>
  <c r="Q735" i="9" l="1"/>
  <c r="R735" i="9" l="1"/>
  <c r="S736" i="9" s="1"/>
  <c r="T735" i="9"/>
  <c r="Q736" i="9" l="1"/>
  <c r="R736" i="9" l="1"/>
  <c r="S737" i="9" s="1"/>
  <c r="T736" i="9"/>
  <c r="Q737" i="9" l="1"/>
  <c r="R737" i="9" l="1"/>
  <c r="S738" i="9" s="1"/>
  <c r="T737" i="9"/>
  <c r="Q738" i="9" l="1"/>
  <c r="R738" i="9" l="1"/>
  <c r="S739" i="9" s="1"/>
  <c r="T738" i="9"/>
  <c r="Q739" i="9" l="1"/>
  <c r="R739" i="9" l="1"/>
  <c r="S740" i="9" s="1"/>
  <c r="T739" i="9"/>
  <c r="Q740" i="9" l="1"/>
  <c r="R740" i="9" l="1"/>
  <c r="S741" i="9" s="1"/>
  <c r="T740" i="9"/>
  <c r="Q741" i="9" l="1"/>
  <c r="R741" i="9" l="1"/>
  <c r="S742" i="9" s="1"/>
  <c r="T741" i="9"/>
  <c r="Q742" i="9" l="1"/>
  <c r="R742" i="9" l="1"/>
  <c r="S743" i="9" s="1"/>
  <c r="T742" i="9"/>
  <c r="Q743" i="9" l="1"/>
  <c r="R743" i="9" l="1"/>
  <c r="S744" i="9" s="1"/>
  <c r="T743" i="9"/>
  <c r="Q744" i="9" l="1"/>
  <c r="R744" i="9" l="1"/>
  <c r="S745" i="9" s="1"/>
  <c r="T744" i="9"/>
  <c r="Q745" i="9" l="1"/>
  <c r="R745" i="9" l="1"/>
  <c r="S746" i="9" s="1"/>
  <c r="T745" i="9"/>
  <c r="Q746" i="9" l="1"/>
  <c r="R746" i="9" l="1"/>
  <c r="S747" i="9" s="1"/>
  <c r="T746" i="9"/>
  <c r="Q747" i="9" l="1"/>
  <c r="R747" i="9" l="1"/>
  <c r="S748" i="9" s="1"/>
  <c r="T747" i="9"/>
  <c r="Q748" i="9" l="1"/>
  <c r="R748" i="9" l="1"/>
  <c r="S749" i="9" s="1"/>
  <c r="T748" i="9"/>
  <c r="Q749" i="9" l="1"/>
  <c r="R749" i="9" l="1"/>
  <c r="S750" i="9" s="1"/>
  <c r="T749" i="9"/>
  <c r="Q750" i="9" l="1"/>
  <c r="R750" i="9" l="1"/>
  <c r="S751" i="9" s="1"/>
  <c r="T750" i="9"/>
  <c r="Q751" i="9" l="1"/>
  <c r="R751" i="9" l="1"/>
  <c r="S752" i="9" s="1"/>
  <c r="T751" i="9"/>
  <c r="Q752" i="9" l="1"/>
  <c r="R752" i="9" l="1"/>
  <c r="S753" i="9" s="1"/>
  <c r="T752" i="9"/>
  <c r="Q753" i="9" l="1"/>
  <c r="R753" i="9" l="1"/>
  <c r="S754" i="9" s="1"/>
  <c r="T753" i="9"/>
  <c r="Q754" i="9" l="1"/>
  <c r="R754" i="9" l="1"/>
  <c r="S755" i="9" s="1"/>
  <c r="T754" i="9"/>
  <c r="Q755" i="9" l="1"/>
  <c r="R755" i="9" l="1"/>
  <c r="S756" i="9" s="1"/>
  <c r="T755" i="9"/>
  <c r="Q756" i="9" l="1"/>
  <c r="R756" i="9" l="1"/>
  <c r="S757" i="9" s="1"/>
  <c r="T756" i="9"/>
  <c r="Q757" i="9" l="1"/>
  <c r="R757" i="9" l="1"/>
  <c r="S758" i="9" s="1"/>
  <c r="T757" i="9"/>
  <c r="Q758" i="9" l="1"/>
  <c r="R758" i="9" l="1"/>
  <c r="S759" i="9" s="1"/>
  <c r="T758" i="9"/>
  <c r="Q759" i="9" l="1"/>
  <c r="R759" i="9" l="1"/>
  <c r="S760" i="9" s="1"/>
  <c r="T759" i="9"/>
  <c r="Q760" i="9" l="1"/>
  <c r="R760" i="9" l="1"/>
  <c r="S761" i="9" s="1"/>
  <c r="T760" i="9"/>
  <c r="Q761" i="9" l="1"/>
  <c r="R761" i="9" l="1"/>
  <c r="S762" i="9" s="1"/>
  <c r="T761" i="9"/>
  <c r="Q762" i="9" l="1"/>
  <c r="R762" i="9" l="1"/>
  <c r="S763" i="9" s="1"/>
  <c r="T762" i="9"/>
  <c r="Q763" i="9" l="1"/>
  <c r="R763" i="9" l="1"/>
  <c r="S764" i="9" s="1"/>
  <c r="T763" i="9"/>
  <c r="Q764" i="9" l="1"/>
  <c r="R764" i="9" l="1"/>
  <c r="S765" i="9" s="1"/>
  <c r="T764" i="9"/>
  <c r="Q765" i="9" l="1"/>
  <c r="R765" i="9" l="1"/>
  <c r="S766" i="9" s="1"/>
  <c r="T765" i="9"/>
  <c r="Q766" i="9" l="1"/>
  <c r="R766" i="9" l="1"/>
  <c r="S767" i="9" s="1"/>
  <c r="T766" i="9"/>
  <c r="Q767" i="9" l="1"/>
  <c r="R767" i="9" l="1"/>
  <c r="S768" i="9" s="1"/>
  <c r="T767" i="9"/>
  <c r="Q768" i="9" l="1"/>
  <c r="R768" i="9" l="1"/>
  <c r="S769" i="9" s="1"/>
  <c r="T768" i="9"/>
  <c r="Q769" i="9" l="1"/>
  <c r="R769" i="9" l="1"/>
  <c r="S770" i="9" s="1"/>
  <c r="T769" i="9"/>
  <c r="Q770" i="9" l="1"/>
  <c r="R770" i="9" l="1"/>
  <c r="S771" i="9" s="1"/>
  <c r="T770" i="9"/>
  <c r="Q771" i="9" l="1"/>
  <c r="R771" i="9" l="1"/>
  <c r="S772" i="9" s="1"/>
  <c r="T771" i="9"/>
  <c r="Q772" i="9" l="1"/>
  <c r="R772" i="9" l="1"/>
  <c r="S773" i="9" s="1"/>
  <c r="T772" i="9"/>
  <c r="Q773" i="9" l="1"/>
  <c r="R773" i="9" l="1"/>
  <c r="S774" i="9" s="1"/>
  <c r="T773" i="9"/>
  <c r="Q774" i="9" l="1"/>
  <c r="R774" i="9" l="1"/>
  <c r="S775" i="9" s="1"/>
  <c r="T774" i="9"/>
  <c r="Q775" i="9" l="1"/>
  <c r="R775" i="9" l="1"/>
  <c r="S776" i="9" s="1"/>
  <c r="T775" i="9"/>
  <c r="Q776" i="9" l="1"/>
  <c r="T776" i="9" l="1"/>
  <c r="R776" i="9"/>
  <c r="S777" i="9" s="1"/>
  <c r="Q777" i="9" l="1"/>
  <c r="R777" i="9" l="1"/>
  <c r="S778" i="9" s="1"/>
  <c r="T777" i="9"/>
  <c r="Q778" i="9" l="1"/>
  <c r="R778" i="9" l="1"/>
  <c r="S779" i="9" s="1"/>
  <c r="T778" i="9"/>
  <c r="Q779" i="9" l="1"/>
  <c r="R779" i="9" l="1"/>
  <c r="S780" i="9" s="1"/>
  <c r="T779" i="9"/>
  <c r="Q780" i="9" l="1"/>
  <c r="T780" i="9" l="1"/>
  <c r="R780" i="9"/>
  <c r="S781" i="9" s="1"/>
  <c r="Q781" i="9" l="1"/>
  <c r="R781" i="9" l="1"/>
  <c r="S782" i="9" s="1"/>
  <c r="T781" i="9"/>
  <c r="Q782" i="9" l="1"/>
  <c r="R782" i="9" l="1"/>
  <c r="S783" i="9" s="1"/>
  <c r="T782" i="9"/>
  <c r="Q783" i="9" l="1"/>
  <c r="R783" i="9" l="1"/>
  <c r="S784" i="9" s="1"/>
  <c r="T783" i="9"/>
  <c r="Q784" i="9" l="1"/>
  <c r="T784" i="9" l="1"/>
  <c r="R784" i="9"/>
  <c r="S785" i="9" s="1"/>
  <c r="Q785" i="9" l="1"/>
  <c r="R785" i="9" l="1"/>
  <c r="S786" i="9" s="1"/>
  <c r="T785" i="9"/>
  <c r="Q786" i="9" l="1"/>
  <c r="R786" i="9" l="1"/>
  <c r="S787" i="9" s="1"/>
  <c r="T786" i="9"/>
  <c r="Q787" i="9" l="1"/>
  <c r="R787" i="9" l="1"/>
  <c r="S788" i="9" s="1"/>
  <c r="T787" i="9"/>
  <c r="Q788" i="9" l="1"/>
  <c r="T788" i="9" l="1"/>
  <c r="R788" i="9"/>
  <c r="S789" i="9" s="1"/>
  <c r="Q789" i="9" l="1"/>
  <c r="R789" i="9" l="1"/>
  <c r="S790" i="9" s="1"/>
  <c r="T789" i="9"/>
  <c r="Q790" i="9" l="1"/>
  <c r="R790" i="9" l="1"/>
  <c r="S791" i="9" s="1"/>
  <c r="T790" i="9"/>
  <c r="Q791" i="9" l="1"/>
  <c r="R791" i="9" l="1"/>
  <c r="S792" i="9" s="1"/>
  <c r="T791" i="9"/>
  <c r="Q792" i="9" l="1"/>
  <c r="T792" i="9" l="1"/>
  <c r="R792" i="9"/>
  <c r="S793" i="9" s="1"/>
  <c r="Q793" i="9" l="1"/>
  <c r="R793" i="9" l="1"/>
  <c r="S794" i="9" s="1"/>
  <c r="T793" i="9"/>
  <c r="Q794" i="9" l="1"/>
  <c r="R794" i="9" l="1"/>
  <c r="S795" i="9" s="1"/>
  <c r="T794" i="9"/>
  <c r="Q795" i="9" l="1"/>
  <c r="R795" i="9" l="1"/>
  <c r="S796" i="9" s="1"/>
  <c r="T795" i="9"/>
  <c r="Q796" i="9" l="1"/>
  <c r="T796" i="9" l="1"/>
  <c r="R796" i="9"/>
  <c r="S797" i="9" s="1"/>
  <c r="Q797" i="9" l="1"/>
  <c r="R797" i="9" l="1"/>
  <c r="S798" i="9" s="1"/>
  <c r="T797" i="9"/>
  <c r="Q798" i="9" l="1"/>
  <c r="R798" i="9" l="1"/>
  <c r="S799" i="9" s="1"/>
  <c r="T798" i="9"/>
  <c r="Q799" i="9" l="1"/>
  <c r="R799" i="9" l="1"/>
  <c r="S800" i="9" s="1"/>
  <c r="T799" i="9"/>
  <c r="Q800" i="9" l="1"/>
  <c r="T800" i="9" l="1"/>
  <c r="R800" i="9"/>
  <c r="S801" i="9" s="1"/>
  <c r="Q801" i="9" l="1"/>
  <c r="R801" i="9" l="1"/>
  <c r="S802" i="9" s="1"/>
  <c r="T801" i="9"/>
  <c r="Q802" i="9" l="1"/>
  <c r="R802" i="9" l="1"/>
  <c r="S803" i="9" s="1"/>
  <c r="T802" i="9"/>
  <c r="Q803" i="9" l="1"/>
  <c r="R803" i="9" l="1"/>
  <c r="S804" i="9" s="1"/>
  <c r="T803" i="9"/>
  <c r="Q804" i="9" l="1"/>
  <c r="T804" i="9" l="1"/>
  <c r="R804" i="9"/>
  <c r="S805" i="9" s="1"/>
  <c r="Q805" i="9" l="1"/>
  <c r="R805" i="9" l="1"/>
  <c r="S806" i="9" s="1"/>
  <c r="T805" i="9"/>
  <c r="Q806" i="9" l="1"/>
  <c r="R806" i="9" l="1"/>
  <c r="S807" i="9" s="1"/>
  <c r="T806" i="9"/>
  <c r="Q807" i="9" l="1"/>
  <c r="R807" i="9" l="1"/>
  <c r="S808" i="9" s="1"/>
  <c r="T807" i="9"/>
  <c r="Q808" i="9" l="1"/>
  <c r="T808" i="9" l="1"/>
  <c r="R808" i="9"/>
  <c r="S809" i="9" s="1"/>
  <c r="Q809" i="9" l="1"/>
  <c r="R809" i="9" l="1"/>
  <c r="S810" i="9" s="1"/>
  <c r="T809" i="9"/>
  <c r="Q810" i="9" l="1"/>
  <c r="R810" i="9" l="1"/>
  <c r="S811" i="9" s="1"/>
  <c r="T810" i="9"/>
  <c r="Q811" i="9" l="1"/>
  <c r="R811" i="9" l="1"/>
  <c r="S812" i="9" s="1"/>
  <c r="T811" i="9"/>
  <c r="Q812" i="9" l="1"/>
  <c r="T812" i="9" l="1"/>
  <c r="R812" i="9"/>
  <c r="S813" i="9" s="1"/>
  <c r="Q813" i="9" l="1"/>
  <c r="R813" i="9" l="1"/>
  <c r="S814" i="9" s="1"/>
  <c r="T813" i="9"/>
  <c r="Q814" i="9" l="1"/>
  <c r="R814" i="9" l="1"/>
  <c r="S815" i="9" s="1"/>
  <c r="T814" i="9"/>
  <c r="Q815" i="9" l="1"/>
  <c r="R815" i="9" l="1"/>
  <c r="S816" i="9" s="1"/>
  <c r="T815" i="9"/>
  <c r="Q816" i="9" l="1"/>
  <c r="T816" i="9" l="1"/>
  <c r="R816" i="9"/>
  <c r="S817" i="9" s="1"/>
  <c r="Q817" i="9" l="1"/>
  <c r="T817" i="9" l="1"/>
  <c r="R817" i="9"/>
  <c r="S818" i="9" s="1"/>
  <c r="Q818" i="9" l="1"/>
  <c r="T818" i="9" l="1"/>
  <c r="R818" i="9"/>
  <c r="S819" i="9" s="1"/>
  <c r="Q819" i="9" l="1"/>
  <c r="T819" i="9" l="1"/>
  <c r="R819" i="9"/>
  <c r="S820" i="9" s="1"/>
  <c r="Q820" i="9" l="1"/>
  <c r="T820" i="9" l="1"/>
  <c r="R820" i="9"/>
  <c r="S821" i="9" s="1"/>
  <c r="Q821" i="9" l="1"/>
  <c r="T821" i="9" l="1"/>
  <c r="R821" i="9"/>
  <c r="S822" i="9" s="1"/>
  <c r="Q822" i="9" l="1"/>
  <c r="T822" i="9" l="1"/>
  <c r="R822" i="9"/>
  <c r="S823" i="9" s="1"/>
  <c r="Q823" i="9" l="1"/>
  <c r="T823" i="9" l="1"/>
  <c r="R823" i="9"/>
  <c r="S824" i="9" s="1"/>
  <c r="Q824" i="9" l="1"/>
  <c r="T824" i="9" l="1"/>
  <c r="R824" i="9"/>
  <c r="S825" i="9" s="1"/>
  <c r="Q825" i="9" l="1"/>
  <c r="T825" i="9" l="1"/>
  <c r="R825" i="9"/>
  <c r="S826" i="9" s="1"/>
  <c r="Q826" i="9" l="1"/>
  <c r="T826" i="9" l="1"/>
  <c r="R826" i="9"/>
  <c r="S827" i="9" s="1"/>
  <c r="Q827" i="9" l="1"/>
  <c r="T827" i="9" l="1"/>
  <c r="R827" i="9"/>
  <c r="S828" i="9" s="1"/>
  <c r="Q828" i="9" l="1"/>
  <c r="T828" i="9" l="1"/>
  <c r="R828" i="9"/>
  <c r="S829" i="9" s="1"/>
  <c r="Q829" i="9" l="1"/>
  <c r="T829" i="9" l="1"/>
  <c r="R829" i="9"/>
  <c r="S830" i="9" s="1"/>
  <c r="Q830" i="9" l="1"/>
  <c r="T830" i="9" l="1"/>
  <c r="R830" i="9"/>
  <c r="S831" i="9" s="1"/>
  <c r="Q831" i="9" l="1"/>
  <c r="T831" i="9" l="1"/>
  <c r="R831" i="9"/>
  <c r="S832" i="9" s="1"/>
  <c r="Q832" i="9" l="1"/>
  <c r="T832" i="9" l="1"/>
  <c r="R832" i="9"/>
  <c r="S833" i="9" s="1"/>
  <c r="Q833" i="9" l="1"/>
  <c r="T833" i="9" l="1"/>
  <c r="R833" i="9"/>
  <c r="S834" i="9" s="1"/>
  <c r="Q834" i="9" l="1"/>
  <c r="T834" i="9" l="1"/>
  <c r="R834" i="9"/>
  <c r="S835" i="9" s="1"/>
  <c r="Q835" i="9" l="1"/>
  <c r="T835" i="9" l="1"/>
  <c r="R835" i="9"/>
  <c r="S836" i="9" s="1"/>
  <c r="Q836" i="9" l="1"/>
  <c r="T836" i="9" l="1"/>
  <c r="R836" i="9"/>
  <c r="S837" i="9" s="1"/>
  <c r="Q837" i="9" l="1"/>
  <c r="T837" i="9" l="1"/>
  <c r="R837" i="9"/>
  <c r="S838" i="9" s="1"/>
  <c r="Q838" i="9" l="1"/>
  <c r="T838" i="9" l="1"/>
  <c r="R838" i="9"/>
  <c r="S839" i="9" s="1"/>
  <c r="Q839" i="9" l="1"/>
  <c r="T839" i="9" l="1"/>
  <c r="R839" i="9"/>
  <c r="S840" i="9" s="1"/>
  <c r="Q840" i="9" l="1"/>
  <c r="T840" i="9" l="1"/>
  <c r="R840" i="9"/>
  <c r="S841" i="9" s="1"/>
  <c r="Q841" i="9" l="1"/>
  <c r="T841" i="9" l="1"/>
  <c r="R841" i="9"/>
  <c r="S842" i="9" s="1"/>
  <c r="Q842" i="9" l="1"/>
  <c r="T842" i="9" l="1"/>
  <c r="R842" i="9"/>
  <c r="S843" i="9" s="1"/>
  <c r="Q843" i="9" l="1"/>
  <c r="T843" i="9" l="1"/>
  <c r="R843" i="9"/>
  <c r="S844" i="9" s="1"/>
  <c r="Q844" i="9" l="1"/>
  <c r="T844" i="9" l="1"/>
  <c r="R844" i="9"/>
  <c r="S845" i="9" s="1"/>
  <c r="Q845" i="9" l="1"/>
  <c r="T845" i="9" l="1"/>
  <c r="R845" i="9"/>
  <c r="S846" i="9" s="1"/>
  <c r="Q846" i="9" l="1"/>
  <c r="T846" i="9" l="1"/>
  <c r="R846" i="9"/>
  <c r="S847" i="9" s="1"/>
  <c r="Q847" i="9" l="1"/>
  <c r="T847" i="9" l="1"/>
  <c r="R847" i="9"/>
  <c r="S848" i="9" s="1"/>
  <c r="Q848" i="9" l="1"/>
  <c r="T848" i="9" l="1"/>
  <c r="R848" i="9"/>
  <c r="S849" i="9" s="1"/>
  <c r="Q849" i="9" l="1"/>
  <c r="T849" i="9" l="1"/>
  <c r="R849" i="9"/>
  <c r="S850" i="9" s="1"/>
  <c r="Q850" i="9" l="1"/>
  <c r="T850" i="9" l="1"/>
  <c r="R850" i="9"/>
  <c r="S851" i="9" s="1"/>
  <c r="Q851" i="9" l="1"/>
  <c r="T851" i="9" l="1"/>
  <c r="R851" i="9"/>
  <c r="S852" i="9" s="1"/>
  <c r="Q852" i="9" l="1"/>
  <c r="T852" i="9" l="1"/>
  <c r="R852" i="9"/>
  <c r="S853" i="9" s="1"/>
  <c r="Q853" i="9" l="1"/>
  <c r="T853" i="9" l="1"/>
  <c r="R853" i="9"/>
  <c r="S854" i="9" s="1"/>
  <c r="Q854" i="9" l="1"/>
  <c r="T854" i="9" l="1"/>
  <c r="R854" i="9"/>
  <c r="S855" i="9" s="1"/>
  <c r="Q855" i="9" l="1"/>
  <c r="T855" i="9" l="1"/>
  <c r="R855" i="9"/>
  <c r="S856" i="9" s="1"/>
  <c r="Q856" i="9" l="1"/>
  <c r="T856" i="9" l="1"/>
  <c r="R856" i="9"/>
  <c r="S857" i="9" s="1"/>
  <c r="Q857" i="9" l="1"/>
  <c r="T857" i="9" l="1"/>
  <c r="R857" i="9"/>
  <c r="S858" i="9" s="1"/>
  <c r="Q858" i="9" l="1"/>
  <c r="T858" i="9" l="1"/>
  <c r="R858" i="9"/>
  <c r="S859" i="9" s="1"/>
  <c r="Q859" i="9" l="1"/>
  <c r="T859" i="9" l="1"/>
  <c r="R859" i="9"/>
  <c r="S860" i="9" s="1"/>
  <c r="Q860" i="9" l="1"/>
  <c r="T860" i="9" l="1"/>
  <c r="R860" i="9"/>
  <c r="S861" i="9" s="1"/>
  <c r="Q861" i="9" l="1"/>
  <c r="T861" i="9" l="1"/>
  <c r="R861" i="9"/>
  <c r="S862" i="9" s="1"/>
  <c r="Q862" i="9" l="1"/>
  <c r="T862" i="9" l="1"/>
  <c r="R862" i="9"/>
  <c r="S863" i="9" s="1"/>
  <c r="Q863" i="9" l="1"/>
  <c r="T863" i="9" l="1"/>
  <c r="R863" i="9"/>
  <c r="S864" i="9" s="1"/>
  <c r="Q864" i="9" l="1"/>
  <c r="T864" i="9" l="1"/>
  <c r="R864" i="9"/>
  <c r="S865" i="9" s="1"/>
  <c r="Q865" i="9" l="1"/>
  <c r="T865" i="9" l="1"/>
  <c r="R865" i="9"/>
  <c r="S866" i="9" s="1"/>
  <c r="Q866" i="9" l="1"/>
  <c r="T866" i="9" l="1"/>
  <c r="R866" i="9"/>
  <c r="S867" i="9" s="1"/>
  <c r="Q867" i="9" l="1"/>
  <c r="T867" i="9" l="1"/>
  <c r="R867" i="9"/>
  <c r="S868" i="9" s="1"/>
  <c r="Q868" i="9" l="1"/>
  <c r="T868" i="9" l="1"/>
  <c r="R868" i="9"/>
  <c r="S869" i="9" s="1"/>
  <c r="Q869" i="9" l="1"/>
  <c r="T869" i="9" l="1"/>
  <c r="R869" i="9"/>
  <c r="S870" i="9" s="1"/>
  <c r="Q870" i="9" l="1"/>
  <c r="T870" i="9" l="1"/>
  <c r="R870" i="9"/>
  <c r="S871" i="9" s="1"/>
  <c r="Q871" i="9" l="1"/>
  <c r="T871" i="9" l="1"/>
  <c r="R871" i="9"/>
  <c r="S872" i="9" s="1"/>
  <c r="Q872" i="9" l="1"/>
  <c r="T872" i="9" l="1"/>
  <c r="R872" i="9"/>
  <c r="S873" i="9" s="1"/>
  <c r="Q873" i="9" l="1"/>
  <c r="T873" i="9" l="1"/>
  <c r="R873" i="9"/>
  <c r="S874" i="9" s="1"/>
  <c r="Q874" i="9" l="1"/>
  <c r="T874" i="9" l="1"/>
  <c r="R874" i="9"/>
  <c r="S875" i="9" s="1"/>
  <c r="Q875" i="9" l="1"/>
  <c r="T875" i="9" l="1"/>
  <c r="R875" i="9"/>
  <c r="S876" i="9" s="1"/>
  <c r="Q876" i="9" l="1"/>
  <c r="T876" i="9" l="1"/>
  <c r="R876" i="9"/>
  <c r="S877" i="9" s="1"/>
  <c r="Q877" i="9" l="1"/>
  <c r="T877" i="9" l="1"/>
  <c r="R877" i="9"/>
  <c r="S878" i="9" s="1"/>
  <c r="Q878" i="9" l="1"/>
  <c r="T878" i="9" l="1"/>
  <c r="R878" i="9"/>
  <c r="S879" i="9" s="1"/>
  <c r="Q879" i="9" l="1"/>
  <c r="T879" i="9" l="1"/>
  <c r="R879" i="9"/>
  <c r="S880" i="9" s="1"/>
  <c r="Q880" i="9" l="1"/>
  <c r="T880" i="9" l="1"/>
  <c r="R880" i="9"/>
  <c r="S881" i="9" s="1"/>
  <c r="Q881" i="9" l="1"/>
  <c r="T881" i="9" l="1"/>
  <c r="R881" i="9"/>
  <c r="S882" i="9" s="1"/>
  <c r="Q882" i="9" l="1"/>
  <c r="T882" i="9" l="1"/>
  <c r="R882" i="9"/>
  <c r="S883" i="9" s="1"/>
  <c r="Q883" i="9" l="1"/>
  <c r="T883" i="9" l="1"/>
  <c r="R883" i="9"/>
  <c r="S884" i="9" s="1"/>
  <c r="Q884" i="9" l="1"/>
  <c r="T884" i="9" l="1"/>
  <c r="R884" i="9"/>
  <c r="S885" i="9" s="1"/>
  <c r="Q885" i="9" l="1"/>
  <c r="T885" i="9" l="1"/>
  <c r="R885" i="9"/>
  <c r="S886" i="9" s="1"/>
  <c r="Q886" i="9" l="1"/>
  <c r="T886" i="9" l="1"/>
  <c r="R886" i="9"/>
  <c r="S887" i="9" s="1"/>
  <c r="Q887" i="9" l="1"/>
  <c r="T887" i="9" l="1"/>
  <c r="R887" i="9"/>
  <c r="S888" i="9" s="1"/>
  <c r="Q888" i="9" l="1"/>
  <c r="R888" i="9" l="1"/>
  <c r="S889" i="9" s="1"/>
  <c r="T888" i="9"/>
  <c r="Q889" i="9" l="1"/>
  <c r="R889" i="9" l="1"/>
  <c r="S890" i="9" s="1"/>
  <c r="T889" i="9"/>
  <c r="Q890" i="9" l="1"/>
  <c r="R890" i="9" l="1"/>
  <c r="S891" i="9" s="1"/>
  <c r="T890" i="9"/>
  <c r="Q891" i="9" l="1"/>
  <c r="R891" i="9" l="1"/>
  <c r="S892" i="9" s="1"/>
  <c r="T891" i="9"/>
  <c r="Q892" i="9" l="1"/>
  <c r="R892" i="9" l="1"/>
  <c r="S893" i="9" s="1"/>
  <c r="T892" i="9"/>
  <c r="Q893" i="9" l="1"/>
  <c r="R893" i="9" l="1"/>
  <c r="S894" i="9" s="1"/>
  <c r="T893" i="9"/>
  <c r="Q894" i="9" l="1"/>
  <c r="R894" i="9" l="1"/>
  <c r="S895" i="9" s="1"/>
  <c r="T894" i="9"/>
  <c r="Q895" i="9" l="1"/>
  <c r="R895" i="9" l="1"/>
  <c r="S896" i="9" s="1"/>
  <c r="T895" i="9"/>
  <c r="Q896" i="9" l="1"/>
  <c r="R896" i="9" l="1"/>
  <c r="S897" i="9" s="1"/>
  <c r="T896" i="9"/>
  <c r="Q897" i="9" l="1"/>
  <c r="R897" i="9" l="1"/>
  <c r="S898" i="9" s="1"/>
  <c r="T897" i="9"/>
  <c r="Q898" i="9" l="1"/>
  <c r="R898" i="9" l="1"/>
  <c r="S899" i="9" s="1"/>
  <c r="T898" i="9"/>
  <c r="Q899" i="9" l="1"/>
  <c r="R899" i="9" l="1"/>
  <c r="S900" i="9" s="1"/>
  <c r="T899" i="9"/>
  <c r="Q900" i="9" l="1"/>
  <c r="R900" i="9" l="1"/>
  <c r="S901" i="9" s="1"/>
  <c r="T900" i="9"/>
  <c r="Q901" i="9" l="1"/>
  <c r="R901" i="9" l="1"/>
  <c r="S902" i="9" s="1"/>
  <c r="T901" i="9"/>
  <c r="Q902" i="9" l="1"/>
  <c r="R902" i="9" l="1"/>
  <c r="S903" i="9" s="1"/>
  <c r="T902" i="9"/>
  <c r="Q903" i="9" l="1"/>
  <c r="R903" i="9" l="1"/>
  <c r="S904" i="9" s="1"/>
  <c r="T903" i="9"/>
  <c r="Q904" i="9" l="1"/>
  <c r="R904" i="9" l="1"/>
  <c r="S905" i="9" s="1"/>
  <c r="T904" i="9"/>
  <c r="Q905" i="9" l="1"/>
  <c r="R905" i="9" l="1"/>
  <c r="S906" i="9" s="1"/>
  <c r="T905" i="9"/>
  <c r="Q906" i="9" l="1"/>
  <c r="R906" i="9" l="1"/>
  <c r="S907" i="9" s="1"/>
  <c r="T906" i="9"/>
  <c r="Q907" i="9" l="1"/>
  <c r="R907" i="9" l="1"/>
  <c r="S908" i="9" s="1"/>
  <c r="T907" i="9"/>
  <c r="Q908" i="9" l="1"/>
  <c r="R908" i="9" l="1"/>
  <c r="S909" i="9" s="1"/>
  <c r="T908" i="9"/>
  <c r="Q909" i="9" l="1"/>
  <c r="R909" i="9" l="1"/>
  <c r="S910" i="9" s="1"/>
  <c r="T909" i="9"/>
  <c r="Q910" i="9" l="1"/>
  <c r="R910" i="9" l="1"/>
  <c r="S911" i="9" s="1"/>
  <c r="T910" i="9"/>
  <c r="Q911" i="9" l="1"/>
  <c r="R911" i="9" l="1"/>
  <c r="S912" i="9" s="1"/>
  <c r="T911" i="9"/>
  <c r="Q912" i="9" l="1"/>
  <c r="R912" i="9" l="1"/>
  <c r="S913" i="9" s="1"/>
  <c r="T912" i="9"/>
  <c r="Q913" i="9" l="1"/>
  <c r="R913" i="9" l="1"/>
  <c r="S914" i="9" s="1"/>
  <c r="T913" i="9"/>
  <c r="Q914" i="9" l="1"/>
  <c r="R914" i="9" l="1"/>
  <c r="S915" i="9" s="1"/>
  <c r="T914" i="9"/>
  <c r="Q915" i="9" l="1"/>
  <c r="R915" i="9" l="1"/>
  <c r="S916" i="9" s="1"/>
  <c r="T915" i="9"/>
  <c r="Q916" i="9" l="1"/>
  <c r="R916" i="9" l="1"/>
  <c r="S917" i="9" s="1"/>
  <c r="T916" i="9"/>
  <c r="Q917" i="9" l="1"/>
  <c r="R917" i="9" l="1"/>
  <c r="S918" i="9" s="1"/>
  <c r="T917" i="9"/>
  <c r="Q918" i="9" l="1"/>
  <c r="R918" i="9" l="1"/>
  <c r="S919" i="9" s="1"/>
  <c r="T918" i="9"/>
  <c r="Q919" i="9" l="1"/>
  <c r="R919" i="9" l="1"/>
  <c r="S920" i="9" s="1"/>
  <c r="T919" i="9"/>
  <c r="Q920" i="9" l="1"/>
  <c r="R920" i="9" l="1"/>
  <c r="S921" i="9" s="1"/>
  <c r="T920" i="9"/>
  <c r="Q921" i="9" l="1"/>
  <c r="R921" i="9" l="1"/>
  <c r="S922" i="9" s="1"/>
  <c r="T921" i="9"/>
  <c r="Q922" i="9" l="1"/>
  <c r="R922" i="9" l="1"/>
  <c r="S923" i="9" s="1"/>
  <c r="T922" i="9"/>
  <c r="Q923" i="9" l="1"/>
  <c r="R923" i="9" l="1"/>
  <c r="S924" i="9" s="1"/>
  <c r="T923" i="9"/>
  <c r="Q924" i="9" l="1"/>
  <c r="R924" i="9" l="1"/>
  <c r="S925" i="9" s="1"/>
  <c r="T924" i="9"/>
  <c r="Q925" i="9" l="1"/>
  <c r="R925" i="9" l="1"/>
  <c r="S926" i="9" s="1"/>
  <c r="T925" i="9"/>
  <c r="Q926" i="9" l="1"/>
  <c r="R926" i="9" l="1"/>
  <c r="S927" i="9" s="1"/>
  <c r="T926" i="9"/>
  <c r="Q927" i="9" l="1"/>
  <c r="R927" i="9" l="1"/>
  <c r="S928" i="9" s="1"/>
  <c r="T927" i="9"/>
  <c r="Q928" i="9" l="1"/>
  <c r="R928" i="9" l="1"/>
  <c r="S929" i="9" s="1"/>
  <c r="T928" i="9"/>
  <c r="Q929" i="9" l="1"/>
  <c r="R929" i="9" l="1"/>
  <c r="S930" i="9" s="1"/>
  <c r="T929" i="9"/>
  <c r="Q930" i="9" l="1"/>
  <c r="R930" i="9" l="1"/>
  <c r="S931" i="9" s="1"/>
  <c r="T930" i="9"/>
  <c r="Q931" i="9" l="1"/>
  <c r="R931" i="9" l="1"/>
  <c r="S932" i="9" s="1"/>
  <c r="T931" i="9"/>
  <c r="Q932" i="9" l="1"/>
  <c r="R932" i="9" l="1"/>
  <c r="S933" i="9" s="1"/>
  <c r="T932" i="9"/>
  <c r="Q933" i="9" l="1"/>
  <c r="R933" i="9" l="1"/>
  <c r="S934" i="9" s="1"/>
  <c r="T933" i="9"/>
  <c r="Q934" i="9" l="1"/>
  <c r="R934" i="9" l="1"/>
  <c r="S935" i="9" s="1"/>
  <c r="T934" i="9"/>
  <c r="Q935" i="9" l="1"/>
  <c r="R935" i="9" l="1"/>
  <c r="S936" i="9" s="1"/>
  <c r="T935" i="9"/>
  <c r="Q936" i="9" l="1"/>
  <c r="R936" i="9" l="1"/>
  <c r="S937" i="9" s="1"/>
  <c r="T936" i="9"/>
  <c r="Q937" i="9" l="1"/>
  <c r="R937" i="9" l="1"/>
  <c r="S938" i="9" s="1"/>
  <c r="T937" i="9"/>
  <c r="Q938" i="9" l="1"/>
  <c r="R938" i="9" l="1"/>
  <c r="S939" i="9" s="1"/>
  <c r="T938" i="9"/>
  <c r="Q939" i="9" l="1"/>
  <c r="R939" i="9" l="1"/>
  <c r="S940" i="9" s="1"/>
  <c r="T939" i="9"/>
  <c r="Q940" i="9" l="1"/>
  <c r="R940" i="9" l="1"/>
  <c r="S941" i="9" s="1"/>
  <c r="T940" i="9"/>
  <c r="Q941" i="9" l="1"/>
  <c r="R941" i="9" l="1"/>
  <c r="S942" i="9" s="1"/>
  <c r="T941" i="9"/>
  <c r="Q942" i="9" l="1"/>
  <c r="R942" i="9" l="1"/>
  <c r="S943" i="9" s="1"/>
  <c r="T942" i="9"/>
  <c r="Q943" i="9" l="1"/>
  <c r="R943" i="9" l="1"/>
  <c r="S944" i="9" s="1"/>
  <c r="T943" i="9"/>
  <c r="Q944" i="9" l="1"/>
  <c r="R944" i="9" l="1"/>
  <c r="S945" i="9" s="1"/>
  <c r="T944" i="9"/>
  <c r="Q945" i="9" l="1"/>
  <c r="R945" i="9" l="1"/>
  <c r="S946" i="9" s="1"/>
  <c r="T945" i="9"/>
  <c r="Q946" i="9" l="1"/>
  <c r="R946" i="9" l="1"/>
  <c r="S947" i="9" s="1"/>
  <c r="T946" i="9"/>
  <c r="Q947" i="9" l="1"/>
  <c r="R947" i="9" l="1"/>
  <c r="S948" i="9" s="1"/>
  <c r="T947" i="9"/>
  <c r="Q948" i="9" l="1"/>
  <c r="R948" i="9" l="1"/>
  <c r="S949" i="9" s="1"/>
  <c r="T948" i="9"/>
  <c r="Q949" i="9" l="1"/>
  <c r="R949" i="9" l="1"/>
  <c r="S950" i="9" s="1"/>
  <c r="T949" i="9"/>
  <c r="Q950" i="9" l="1"/>
  <c r="R950" i="9" l="1"/>
  <c r="S951" i="9" s="1"/>
  <c r="T950" i="9"/>
  <c r="Q951" i="9" l="1"/>
  <c r="R951" i="9" l="1"/>
  <c r="S952" i="9" s="1"/>
  <c r="T951" i="9"/>
  <c r="Q952" i="9" l="1"/>
  <c r="R952" i="9" l="1"/>
  <c r="S953" i="9" s="1"/>
  <c r="T952" i="9"/>
  <c r="Q953" i="9" l="1"/>
  <c r="R953" i="9" l="1"/>
  <c r="S954" i="9" s="1"/>
  <c r="T953" i="9"/>
  <c r="Q954" i="9" l="1"/>
  <c r="R954" i="9" l="1"/>
  <c r="S955" i="9" s="1"/>
  <c r="T954" i="9"/>
  <c r="Q955" i="9" l="1"/>
  <c r="R955" i="9" l="1"/>
  <c r="S956" i="9" s="1"/>
  <c r="T955" i="9"/>
  <c r="Q956" i="9" l="1"/>
  <c r="R956" i="9" l="1"/>
  <c r="S957" i="9" s="1"/>
  <c r="T956" i="9"/>
  <c r="Q957" i="9" l="1"/>
  <c r="R957" i="9" l="1"/>
  <c r="S958" i="9" s="1"/>
  <c r="T957" i="9"/>
  <c r="Q958" i="9" l="1"/>
  <c r="R958" i="9" l="1"/>
  <c r="S959" i="9" s="1"/>
  <c r="T958" i="9"/>
  <c r="Q959" i="9" l="1"/>
  <c r="R959" i="9" l="1"/>
  <c r="S960" i="9" s="1"/>
  <c r="T959" i="9"/>
  <c r="Q960" i="9" l="1"/>
  <c r="R960" i="9" l="1"/>
  <c r="S961" i="9" s="1"/>
  <c r="T960" i="9"/>
  <c r="Q961" i="9" l="1"/>
  <c r="R961" i="9" l="1"/>
  <c r="S962" i="9" s="1"/>
  <c r="T961" i="9"/>
  <c r="Q962" i="9" l="1"/>
  <c r="R962" i="9" l="1"/>
  <c r="S963" i="9" s="1"/>
  <c r="T962" i="9"/>
  <c r="Q963" i="9" l="1"/>
  <c r="R963" i="9" l="1"/>
  <c r="S964" i="9" s="1"/>
  <c r="T963" i="9"/>
  <c r="Q964" i="9" l="1"/>
  <c r="R964" i="9" l="1"/>
  <c r="S965" i="9" s="1"/>
  <c r="T964" i="9"/>
  <c r="Q965" i="9" l="1"/>
  <c r="R965" i="9" l="1"/>
  <c r="S966" i="9" s="1"/>
  <c r="T965" i="9"/>
  <c r="Q966" i="9" l="1"/>
  <c r="R966" i="9" l="1"/>
  <c r="S967" i="9" s="1"/>
  <c r="T966" i="9"/>
  <c r="Q967" i="9" l="1"/>
  <c r="R967" i="9" l="1"/>
  <c r="S968" i="9" s="1"/>
  <c r="T967" i="9"/>
  <c r="Q968" i="9" l="1"/>
  <c r="R968" i="9" l="1"/>
  <c r="S969" i="9" s="1"/>
  <c r="T968" i="9"/>
  <c r="Q969" i="9" l="1"/>
  <c r="R969" i="9" l="1"/>
  <c r="S970" i="9" s="1"/>
  <c r="T969" i="9"/>
  <c r="Q970" i="9" l="1"/>
  <c r="R970" i="9" l="1"/>
  <c r="S971" i="9" s="1"/>
  <c r="T970" i="9"/>
  <c r="Q971" i="9" l="1"/>
  <c r="R971" i="9" l="1"/>
  <c r="S972" i="9" s="1"/>
  <c r="T971" i="9"/>
  <c r="Q972" i="9" l="1"/>
  <c r="R972" i="9" l="1"/>
  <c r="S973" i="9" s="1"/>
  <c r="T972" i="9"/>
  <c r="Q973" i="9" l="1"/>
  <c r="R973" i="9" l="1"/>
  <c r="S974" i="9" s="1"/>
  <c r="T973" i="9"/>
  <c r="Q974" i="9" l="1"/>
  <c r="R974" i="9" l="1"/>
  <c r="S975" i="9" s="1"/>
  <c r="T974" i="9"/>
  <c r="Q975" i="9" l="1"/>
  <c r="R975" i="9" l="1"/>
  <c r="S976" i="9" s="1"/>
  <c r="T975" i="9"/>
  <c r="Q976" i="9" l="1"/>
  <c r="R976" i="9" l="1"/>
  <c r="S977" i="9" s="1"/>
  <c r="T976" i="9"/>
  <c r="Q977" i="9" l="1"/>
  <c r="R977" i="9" l="1"/>
  <c r="S978" i="9" s="1"/>
  <c r="T977" i="9"/>
  <c r="Q978" i="9" l="1"/>
  <c r="R978" i="9" l="1"/>
  <c r="S979" i="9" s="1"/>
  <c r="T978" i="9"/>
  <c r="Q979" i="9" l="1"/>
  <c r="R979" i="9" l="1"/>
  <c r="S980" i="9" s="1"/>
  <c r="T979" i="9"/>
  <c r="Q980" i="9" l="1"/>
  <c r="R980" i="9" l="1"/>
  <c r="S981" i="9" s="1"/>
  <c r="T980" i="9"/>
  <c r="Q981" i="9" l="1"/>
  <c r="R981" i="9" l="1"/>
  <c r="S982" i="9" s="1"/>
  <c r="T981" i="9"/>
  <c r="Q982" i="9" l="1"/>
  <c r="R982" i="9" l="1"/>
  <c r="S983" i="9" s="1"/>
  <c r="T982" i="9"/>
  <c r="Q983" i="9" l="1"/>
  <c r="R983" i="9" l="1"/>
  <c r="S984" i="9" s="1"/>
  <c r="T983" i="9"/>
  <c r="Q984" i="9" l="1"/>
  <c r="R984" i="9" l="1"/>
  <c r="S985" i="9" s="1"/>
  <c r="T984" i="9"/>
  <c r="Q985" i="9" l="1"/>
  <c r="R985" i="9" l="1"/>
  <c r="S986" i="9" s="1"/>
  <c r="T985" i="9"/>
  <c r="Q986" i="9" l="1"/>
  <c r="R986" i="9" l="1"/>
  <c r="S987" i="9" s="1"/>
  <c r="T986" i="9"/>
  <c r="Q987" i="9" l="1"/>
  <c r="R987" i="9" l="1"/>
  <c r="S988" i="9" s="1"/>
  <c r="T987" i="9"/>
  <c r="Q988" i="9" l="1"/>
  <c r="R988" i="9" l="1"/>
  <c r="S989" i="9" s="1"/>
  <c r="T988" i="9"/>
  <c r="Q989" i="9" l="1"/>
  <c r="R989" i="9" l="1"/>
  <c r="S990" i="9" s="1"/>
  <c r="T989" i="9"/>
  <c r="Q990" i="9" l="1"/>
  <c r="R990" i="9" l="1"/>
  <c r="S991" i="9" s="1"/>
  <c r="T990" i="9"/>
  <c r="Q991" i="9" l="1"/>
  <c r="R991" i="9" l="1"/>
  <c r="S992" i="9" s="1"/>
  <c r="T991" i="9"/>
  <c r="Q992" i="9" l="1"/>
  <c r="R992" i="9" l="1"/>
  <c r="S993" i="9" s="1"/>
  <c r="T992" i="9"/>
  <c r="Q993" i="9" l="1"/>
  <c r="R993" i="9" l="1"/>
  <c r="S994" i="9" s="1"/>
  <c r="T993" i="9"/>
  <c r="Q994" i="9" l="1"/>
  <c r="R994" i="9" l="1"/>
  <c r="S995" i="9" s="1"/>
  <c r="T994" i="9"/>
  <c r="Q995" i="9" l="1"/>
  <c r="R995" i="9" l="1"/>
  <c r="S996" i="9" s="1"/>
  <c r="T995" i="9"/>
  <c r="Q996" i="9" l="1"/>
  <c r="R996" i="9" l="1"/>
  <c r="S997" i="9" s="1"/>
  <c r="T996" i="9"/>
  <c r="Q997" i="9" l="1"/>
  <c r="R997" i="9" l="1"/>
  <c r="S998" i="9" s="1"/>
  <c r="T997" i="9"/>
  <c r="Q998" i="9" l="1"/>
  <c r="R998" i="9" l="1"/>
  <c r="S999" i="9" s="1"/>
  <c r="T998" i="9"/>
  <c r="Q999" i="9" l="1"/>
  <c r="R999" i="9" l="1"/>
  <c r="S1000" i="9" s="1"/>
  <c r="T999" i="9"/>
  <c r="Q1000" i="9" l="1"/>
  <c r="R1000" i="9" l="1"/>
  <c r="S1001" i="9" s="1"/>
  <c r="T1000" i="9"/>
  <c r="Q1001" i="9" l="1"/>
  <c r="R1001" i="9" l="1"/>
  <c r="S1002" i="9" s="1"/>
  <c r="T1001" i="9"/>
  <c r="Q1002" i="9" l="1"/>
  <c r="R1002" i="9" l="1"/>
  <c r="S1003" i="9" s="1"/>
  <c r="T1002" i="9"/>
  <c r="Q1003" i="9" l="1"/>
  <c r="R1003" i="9" l="1"/>
  <c r="S1004" i="9" s="1"/>
  <c r="T1003" i="9"/>
  <c r="Q1004" i="9" l="1"/>
  <c r="R1004" i="9" l="1"/>
  <c r="S1005" i="9" s="1"/>
  <c r="T1004" i="9"/>
  <c r="Q1005" i="9" l="1"/>
  <c r="R1005" i="9" l="1"/>
  <c r="S1006" i="9" s="1"/>
  <c r="T1005" i="9"/>
  <c r="Q1006" i="9" l="1"/>
  <c r="R1006" i="9" l="1"/>
  <c r="S1007" i="9" s="1"/>
  <c r="T1006" i="9"/>
  <c r="Q1007" i="9" l="1"/>
  <c r="R1007" i="9" l="1"/>
  <c r="S1008" i="9" s="1"/>
  <c r="T1007" i="9"/>
  <c r="Q1008" i="9" l="1"/>
  <c r="R1008" i="9" l="1"/>
  <c r="S1009" i="9" s="1"/>
  <c r="T1008" i="9"/>
  <c r="Q1009" i="9" l="1"/>
  <c r="R1009" i="9" l="1"/>
  <c r="S1010" i="9" s="1"/>
  <c r="T1009" i="9"/>
  <c r="Q1010" i="9" l="1"/>
  <c r="R1010" i="9" l="1"/>
  <c r="S1011" i="9" s="1"/>
  <c r="T1010" i="9"/>
  <c r="Q1011" i="9" l="1"/>
  <c r="R1011" i="9" l="1"/>
  <c r="S1012" i="9" s="1"/>
  <c r="T1011" i="9"/>
  <c r="Q1012" i="9" l="1"/>
  <c r="R1012" i="9" l="1"/>
  <c r="S1013" i="9" s="1"/>
  <c r="T1012" i="9"/>
  <c r="Q1013" i="9" l="1"/>
  <c r="R1013" i="9" l="1"/>
  <c r="S1014" i="9" s="1"/>
  <c r="T1013" i="9"/>
  <c r="Q1014" i="9" l="1"/>
  <c r="R1014" i="9" l="1"/>
  <c r="S1015" i="9" s="1"/>
  <c r="T1014" i="9"/>
  <c r="Q1015" i="9" l="1"/>
  <c r="R1015" i="9" l="1"/>
  <c r="S1016" i="9" s="1"/>
  <c r="T1015" i="9"/>
  <c r="Q1016" i="9" l="1"/>
  <c r="R1016" i="9" l="1"/>
  <c r="S1017" i="9" s="1"/>
  <c r="T1016" i="9"/>
  <c r="Q1017" i="9" l="1"/>
  <c r="R1017" i="9" l="1"/>
  <c r="S1018" i="9" s="1"/>
  <c r="T1017" i="9"/>
  <c r="Q1018" i="9" l="1"/>
  <c r="R1018" i="9" l="1"/>
  <c r="S1019" i="9" s="1"/>
  <c r="T1018" i="9"/>
  <c r="Q1019" i="9" l="1"/>
  <c r="R1019" i="9" l="1"/>
  <c r="S1020" i="9" s="1"/>
  <c r="T1019" i="9"/>
  <c r="Q1020" i="9" l="1"/>
  <c r="R1020" i="9" l="1"/>
  <c r="S1021" i="9" s="1"/>
  <c r="T1020" i="9"/>
  <c r="Q1021" i="9" l="1"/>
  <c r="R1021" i="9" l="1"/>
  <c r="S1022" i="9" s="1"/>
  <c r="T1021" i="9"/>
  <c r="Q1022" i="9" l="1"/>
  <c r="R1022" i="9" l="1"/>
  <c r="S1023" i="9" s="1"/>
  <c r="T1022" i="9"/>
  <c r="Q1023" i="9" l="1"/>
  <c r="R1023" i="9" l="1"/>
  <c r="S1024" i="9" s="1"/>
  <c r="T1023" i="9"/>
  <c r="Q1024" i="9" l="1"/>
  <c r="R1024" i="9" l="1"/>
  <c r="S1025" i="9" s="1"/>
  <c r="T1024" i="9"/>
  <c r="Q1025" i="9" l="1"/>
  <c r="R1025" i="9" l="1"/>
  <c r="S1026" i="9" s="1"/>
  <c r="T1025" i="9"/>
  <c r="Q1026" i="9" l="1"/>
  <c r="R1026" i="9" l="1"/>
  <c r="S1027" i="9" s="1"/>
  <c r="T1026" i="9"/>
  <c r="Q1027" i="9" l="1"/>
  <c r="R1027" i="9" l="1"/>
  <c r="S1028" i="9" s="1"/>
  <c r="T1027" i="9"/>
  <c r="Q1028" i="9" l="1"/>
  <c r="R1028" i="9" l="1"/>
  <c r="S1029" i="9" s="1"/>
  <c r="T1028" i="9"/>
  <c r="Q1029" i="9" l="1"/>
  <c r="R1029" i="9" l="1"/>
  <c r="S1030" i="9" s="1"/>
  <c r="T1029" i="9"/>
  <c r="Q1030" i="9" l="1"/>
  <c r="R1030" i="9" l="1"/>
  <c r="S1031" i="9" s="1"/>
  <c r="T1030" i="9"/>
  <c r="Q1031" i="9" l="1"/>
  <c r="R1031" i="9" l="1"/>
  <c r="S1032" i="9" s="1"/>
  <c r="T1031" i="9"/>
  <c r="Q1032" i="9" l="1"/>
  <c r="R1032" i="9" l="1"/>
  <c r="S1033" i="9" s="1"/>
  <c r="T1032" i="9"/>
  <c r="Q1033" i="9" l="1"/>
  <c r="R1033" i="9" l="1"/>
  <c r="S1034" i="9" s="1"/>
  <c r="T1033" i="9"/>
  <c r="Q1034" i="9" l="1"/>
  <c r="R1034" i="9" l="1"/>
  <c r="S1035" i="9" s="1"/>
  <c r="T1034" i="9"/>
  <c r="Q1035" i="9" l="1"/>
  <c r="T1035" i="9" l="1"/>
  <c r="R1035" i="9"/>
  <c r="S1036" i="9" s="1"/>
  <c r="Q1036" i="9" l="1"/>
  <c r="R1036" i="9" l="1"/>
  <c r="S1037" i="9" s="1"/>
  <c r="T1036" i="9"/>
  <c r="Q1037" i="9" l="1"/>
  <c r="R1037" i="9" l="1"/>
  <c r="S1038" i="9" s="1"/>
  <c r="T1037" i="9"/>
  <c r="Q1038" i="9" l="1"/>
  <c r="R1038" i="9" l="1"/>
  <c r="S1039" i="9" s="1"/>
  <c r="T1038" i="9"/>
  <c r="Q1039" i="9" l="1"/>
  <c r="T1039" i="9" l="1"/>
  <c r="R1039" i="9"/>
  <c r="S1040" i="9" s="1"/>
  <c r="Q1040" i="9" l="1"/>
  <c r="R1040" i="9" l="1"/>
  <c r="S1041" i="9" s="1"/>
  <c r="T1040" i="9"/>
  <c r="Q1041" i="9" l="1"/>
  <c r="R1041" i="9" l="1"/>
  <c r="S1042" i="9" s="1"/>
  <c r="T1041" i="9"/>
  <c r="Q1042" i="9" l="1"/>
  <c r="R1042" i="9" l="1"/>
  <c r="S1043" i="9" s="1"/>
  <c r="T1042" i="9"/>
  <c r="Q1043" i="9" l="1"/>
  <c r="T1043" i="9" l="1"/>
  <c r="R1043" i="9"/>
  <c r="S1044" i="9" s="1"/>
  <c r="Q1044" i="9" l="1"/>
  <c r="R1044" i="9" l="1"/>
  <c r="S1045" i="9" s="1"/>
  <c r="T1044" i="9"/>
  <c r="Q1045" i="9" l="1"/>
  <c r="R1045" i="9" l="1"/>
  <c r="S1046" i="9" s="1"/>
  <c r="T1045" i="9"/>
  <c r="Q1046" i="9" l="1"/>
  <c r="R1046" i="9" l="1"/>
  <c r="S1047" i="9" s="1"/>
  <c r="T1046" i="9"/>
  <c r="Q1047" i="9" l="1"/>
  <c r="T1047" i="9" l="1"/>
  <c r="R1047" i="9"/>
  <c r="S1048" i="9" s="1"/>
  <c r="Q1048" i="9" l="1"/>
  <c r="R1048" i="9" l="1"/>
  <c r="S1049" i="9" s="1"/>
  <c r="T1048" i="9"/>
  <c r="Q1049" i="9" l="1"/>
  <c r="R1049" i="9" l="1"/>
  <c r="S1050" i="9" s="1"/>
  <c r="T1049" i="9"/>
  <c r="Q1050" i="9" l="1"/>
  <c r="R1050" i="9" l="1"/>
  <c r="S1051" i="9" s="1"/>
  <c r="T1050" i="9"/>
  <c r="Q1051" i="9" l="1"/>
  <c r="T1051" i="9" l="1"/>
  <c r="R1051" i="9"/>
  <c r="S1052" i="9" s="1"/>
  <c r="Q1052" i="9" l="1"/>
  <c r="R1052" i="9" l="1"/>
  <c r="S1053" i="9" s="1"/>
  <c r="T1052" i="9"/>
  <c r="Q1053" i="9" l="1"/>
  <c r="R1053" i="9" l="1"/>
  <c r="S1054" i="9" s="1"/>
  <c r="T1053" i="9"/>
  <c r="Q1054" i="9" l="1"/>
  <c r="R1054" i="9" l="1"/>
  <c r="S1055" i="9" s="1"/>
  <c r="T1054" i="9"/>
  <c r="Q1055" i="9" l="1"/>
  <c r="T1055" i="9" l="1"/>
  <c r="R1055" i="9"/>
  <c r="S1056" i="9" s="1"/>
  <c r="Q1056" i="9" l="1"/>
  <c r="R1056" i="9" l="1"/>
  <c r="S1057" i="9" s="1"/>
  <c r="T1056" i="9"/>
  <c r="Q1057" i="9" l="1"/>
  <c r="R1057" i="9" l="1"/>
  <c r="S1058" i="9" s="1"/>
  <c r="T1057" i="9"/>
  <c r="Q1058" i="9" l="1"/>
  <c r="R1058" i="9" l="1"/>
  <c r="S1059" i="9" s="1"/>
  <c r="T1058" i="9"/>
  <c r="Q1059" i="9" l="1"/>
  <c r="T1059" i="9" l="1"/>
  <c r="R1059" i="9"/>
  <c r="S1060" i="9" s="1"/>
  <c r="Q1060" i="9" l="1"/>
  <c r="R1060" i="9" l="1"/>
  <c r="S1061" i="9" s="1"/>
  <c r="T1060" i="9"/>
  <c r="Q1061" i="9" l="1"/>
  <c r="R1061" i="9" l="1"/>
  <c r="S1062" i="9" s="1"/>
  <c r="T1061" i="9"/>
  <c r="Q1062" i="9" l="1"/>
  <c r="R1062" i="9" l="1"/>
  <c r="S1063" i="9" s="1"/>
  <c r="T1062" i="9"/>
  <c r="Q1063" i="9" l="1"/>
  <c r="T1063" i="9" l="1"/>
  <c r="R1063" i="9"/>
  <c r="S1064" i="9" s="1"/>
  <c r="Q1064" i="9" l="1"/>
  <c r="R1064" i="9" l="1"/>
  <c r="S1065" i="9" s="1"/>
  <c r="T1064" i="9"/>
  <c r="Q1065" i="9" l="1"/>
  <c r="R1065" i="9" l="1"/>
  <c r="S1066" i="9" s="1"/>
  <c r="T1065" i="9"/>
  <c r="Q1066" i="9" l="1"/>
  <c r="R1066" i="9" l="1"/>
  <c r="S1067" i="9" s="1"/>
  <c r="T1066" i="9"/>
  <c r="Q1067" i="9" l="1"/>
  <c r="T1067" i="9" l="1"/>
  <c r="R1067" i="9"/>
  <c r="S1068" i="9" s="1"/>
  <c r="Q1068" i="9" l="1"/>
  <c r="R1068" i="9" l="1"/>
  <c r="S1069" i="9" s="1"/>
  <c r="T1068" i="9"/>
  <c r="Q1069" i="9" l="1"/>
  <c r="R1069" i="9" l="1"/>
  <c r="S1070" i="9" s="1"/>
  <c r="T1069" i="9"/>
  <c r="Q1070" i="9" l="1"/>
  <c r="R1070" i="9" l="1"/>
  <c r="S1071" i="9" s="1"/>
  <c r="T1070" i="9"/>
  <c r="Q1071" i="9" l="1"/>
  <c r="T1071" i="9" l="1"/>
  <c r="R1071" i="9"/>
  <c r="S1072" i="9" s="1"/>
  <c r="Q1072" i="9" l="1"/>
  <c r="R1072" i="9" l="1"/>
  <c r="S1073" i="9" s="1"/>
  <c r="T1072" i="9"/>
  <c r="Q1073" i="9" l="1"/>
  <c r="R1073" i="9" l="1"/>
  <c r="S1074" i="9" s="1"/>
  <c r="T1073" i="9"/>
  <c r="Q1074" i="9" l="1"/>
  <c r="R1074" i="9" l="1"/>
  <c r="S1075" i="9" s="1"/>
  <c r="T1074" i="9"/>
  <c r="Q1075" i="9" l="1"/>
  <c r="T1075" i="9" l="1"/>
  <c r="R1075" i="9"/>
  <c r="S1076" i="9" s="1"/>
  <c r="Q1076" i="9" l="1"/>
  <c r="R1076" i="9" l="1"/>
  <c r="S1077" i="9" s="1"/>
  <c r="T1076" i="9"/>
  <c r="Q1077" i="9" l="1"/>
  <c r="R1077" i="9" l="1"/>
  <c r="S1078" i="9" s="1"/>
  <c r="T1077" i="9"/>
  <c r="Q1078" i="9" l="1"/>
  <c r="R1078" i="9" l="1"/>
  <c r="S1079" i="9" s="1"/>
  <c r="T1078" i="9"/>
  <c r="Q1079" i="9" l="1"/>
  <c r="T1079" i="9" l="1"/>
  <c r="R1079" i="9"/>
  <c r="S1080" i="9" s="1"/>
  <c r="Q1080" i="9" l="1"/>
  <c r="R1080" i="9" l="1"/>
  <c r="S1081" i="9" s="1"/>
  <c r="T1080" i="9"/>
  <c r="Q1081" i="9" l="1"/>
  <c r="R1081" i="9" l="1"/>
  <c r="S1082" i="9" s="1"/>
  <c r="T1081" i="9"/>
  <c r="Q1082" i="9" l="1"/>
  <c r="R1082" i="9" l="1"/>
  <c r="S1083" i="9" s="1"/>
  <c r="T1082" i="9"/>
  <c r="Q1083" i="9" l="1"/>
  <c r="T1083" i="9" l="1"/>
  <c r="R1083" i="9"/>
  <c r="S1084" i="9" s="1"/>
  <c r="Q1084" i="9" l="1"/>
  <c r="R1084" i="9" l="1"/>
  <c r="S1085" i="9" s="1"/>
  <c r="T1084" i="9"/>
  <c r="Q1085" i="9" l="1"/>
  <c r="R1085" i="9" l="1"/>
  <c r="S1086" i="9" s="1"/>
  <c r="T1085" i="9"/>
  <c r="Q1086" i="9" l="1"/>
  <c r="R1086" i="9" l="1"/>
  <c r="S1087" i="9" s="1"/>
  <c r="T1086" i="9"/>
  <c r="Q1087" i="9" l="1"/>
  <c r="T1087" i="9" l="1"/>
  <c r="R1087" i="9"/>
  <c r="S1088" i="9" s="1"/>
  <c r="Q1088" i="9" l="1"/>
  <c r="R1088" i="9" l="1"/>
  <c r="S1089" i="9" s="1"/>
  <c r="T1088" i="9"/>
  <c r="Q1089" i="9" l="1"/>
  <c r="R1089" i="9" l="1"/>
  <c r="S1090" i="9" s="1"/>
  <c r="T1089" i="9"/>
  <c r="Q1090" i="9" l="1"/>
  <c r="R1090" i="9" l="1"/>
  <c r="S1091" i="9" s="1"/>
  <c r="T1090" i="9"/>
  <c r="Q1091" i="9" l="1"/>
  <c r="T1091" i="9" l="1"/>
  <c r="R1091" i="9"/>
  <c r="S1092" i="9" s="1"/>
  <c r="Q1092" i="9" l="1"/>
  <c r="R1092" i="9" l="1"/>
  <c r="S1093" i="9" s="1"/>
  <c r="T1092" i="9"/>
  <c r="Q1093" i="9" l="1"/>
  <c r="R1093" i="9" l="1"/>
  <c r="S1094" i="9" s="1"/>
  <c r="T1093" i="9"/>
  <c r="Q1094" i="9" l="1"/>
  <c r="R1094" i="9" l="1"/>
  <c r="S1095" i="9" s="1"/>
  <c r="T1094" i="9"/>
  <c r="Q1095" i="9" l="1"/>
  <c r="T1095" i="9" l="1"/>
  <c r="R1095" i="9"/>
  <c r="S1096" i="9" s="1"/>
  <c r="Q1096" i="9" l="1"/>
  <c r="R1096" i="9" l="1"/>
  <c r="S1097" i="9" s="1"/>
  <c r="T1096" i="9"/>
  <c r="Q1097" i="9" l="1"/>
  <c r="R1097" i="9" l="1"/>
  <c r="S1098" i="9" s="1"/>
  <c r="T1097" i="9"/>
  <c r="Q1098" i="9" l="1"/>
  <c r="R1098" i="9" l="1"/>
  <c r="S1099" i="9" s="1"/>
  <c r="T1098" i="9"/>
  <c r="Q1099" i="9" l="1"/>
  <c r="T1099" i="9" l="1"/>
  <c r="R1099" i="9"/>
  <c r="S1100" i="9" s="1"/>
  <c r="Q1100" i="9" l="1"/>
  <c r="R1100" i="9" l="1"/>
  <c r="S1101" i="9" s="1"/>
  <c r="T1100" i="9"/>
  <c r="Q1101" i="9" l="1"/>
  <c r="R1101" i="9" l="1"/>
  <c r="S1102" i="9" s="1"/>
  <c r="T1101" i="9"/>
  <c r="Q1102" i="9" l="1"/>
  <c r="R1102" i="9" l="1"/>
  <c r="S1103" i="9" s="1"/>
  <c r="T1102" i="9"/>
  <c r="Q1103" i="9" l="1"/>
  <c r="T1103" i="9" l="1"/>
  <c r="R1103" i="9"/>
  <c r="S1104" i="9" s="1"/>
  <c r="Q1104" i="9" l="1"/>
  <c r="R1104" i="9" l="1"/>
  <c r="S1105" i="9" s="1"/>
  <c r="T1104" i="9"/>
  <c r="Q1105" i="9" l="1"/>
  <c r="R1105" i="9" l="1"/>
  <c r="S1106" i="9" s="1"/>
  <c r="T1105" i="9"/>
  <c r="Q1106" i="9" l="1"/>
  <c r="R1106" i="9" l="1"/>
  <c r="S1107" i="9" s="1"/>
  <c r="T1106" i="9"/>
  <c r="Q1107" i="9" l="1"/>
  <c r="T1107" i="9" l="1"/>
  <c r="R1107" i="9"/>
  <c r="S1108" i="9" s="1"/>
  <c r="Q1108" i="9" l="1"/>
  <c r="T1108" i="9" l="1"/>
  <c r="R1108" i="9"/>
  <c r="S1109" i="9" s="1"/>
  <c r="Q1109" i="9" l="1"/>
  <c r="T1109" i="9" l="1"/>
  <c r="R1109" i="9"/>
  <c r="S1110" i="9" s="1"/>
  <c r="Q1110" i="9" l="1"/>
  <c r="T1110" i="9" l="1"/>
  <c r="R1110" i="9"/>
  <c r="S1111" i="9" s="1"/>
  <c r="Q1111" i="9" l="1"/>
  <c r="T1111" i="9" l="1"/>
  <c r="R1111" i="9"/>
  <c r="S1112" i="9" s="1"/>
  <c r="Q1112" i="9" l="1"/>
  <c r="T1112" i="9" l="1"/>
  <c r="R1112" i="9"/>
  <c r="S1113" i="9" s="1"/>
  <c r="Q1113" i="9" l="1"/>
  <c r="T1113" i="9" l="1"/>
  <c r="R1113" i="9"/>
  <c r="S1114" i="9" s="1"/>
  <c r="Q1114" i="9" l="1"/>
  <c r="T1114" i="9" l="1"/>
  <c r="R1114" i="9"/>
  <c r="S1115" i="9" s="1"/>
  <c r="Q1115" i="9" l="1"/>
  <c r="T1115" i="9" l="1"/>
  <c r="R1115" i="9"/>
  <c r="S1116" i="9" s="1"/>
  <c r="Q1116" i="9" l="1"/>
  <c r="T1116" i="9" l="1"/>
  <c r="R1116" i="9"/>
  <c r="S1117" i="9" s="1"/>
  <c r="Q1117" i="9" l="1"/>
  <c r="T1117" i="9" l="1"/>
  <c r="R1117" i="9"/>
  <c r="S1118" i="9" s="1"/>
  <c r="Q1118" i="9" l="1"/>
  <c r="T1118" i="9" l="1"/>
  <c r="R1118" i="9"/>
  <c r="S1119" i="9" s="1"/>
  <c r="Q1119" i="9" l="1"/>
  <c r="T1119" i="9" l="1"/>
  <c r="R1119" i="9"/>
  <c r="S1120" i="9" s="1"/>
  <c r="Q1120" i="9" l="1"/>
  <c r="T1120" i="9" l="1"/>
  <c r="R1120" i="9"/>
  <c r="S1121" i="9" s="1"/>
  <c r="Q1121" i="9" l="1"/>
  <c r="T1121" i="9" l="1"/>
  <c r="R1121" i="9"/>
  <c r="S1122" i="9" s="1"/>
  <c r="Q1122" i="9" l="1"/>
  <c r="T1122" i="9" l="1"/>
  <c r="R1122" i="9"/>
  <c r="S1123" i="9" s="1"/>
  <c r="Q1123" i="9" l="1"/>
  <c r="T1123" i="9" l="1"/>
  <c r="R1123" i="9"/>
  <c r="S1124" i="9" s="1"/>
  <c r="Q1124" i="9" l="1"/>
  <c r="T1124" i="9" l="1"/>
  <c r="R1124" i="9"/>
  <c r="S1125" i="9" s="1"/>
  <c r="Q1125" i="9" l="1"/>
  <c r="T1125" i="9" l="1"/>
  <c r="R1125" i="9"/>
  <c r="S1126" i="9" s="1"/>
  <c r="Q1126" i="9" l="1"/>
  <c r="T1126" i="9" l="1"/>
  <c r="R1126" i="9"/>
  <c r="S1127" i="9" s="1"/>
  <c r="Q1127" i="9" l="1"/>
  <c r="T1127" i="9" l="1"/>
  <c r="R1127" i="9"/>
  <c r="S1128" i="9" s="1"/>
  <c r="Q1128" i="9" l="1"/>
  <c r="T1128" i="9" l="1"/>
  <c r="R1128" i="9"/>
  <c r="S1129" i="9" s="1"/>
  <c r="Q1129" i="9" l="1"/>
  <c r="T1129" i="9" l="1"/>
  <c r="R1129" i="9"/>
  <c r="S1130" i="9" s="1"/>
  <c r="Q1130" i="9" l="1"/>
  <c r="T1130" i="9" l="1"/>
  <c r="R1130" i="9"/>
  <c r="S1131" i="9" s="1"/>
  <c r="Q1131" i="9" l="1"/>
  <c r="T1131" i="9" l="1"/>
  <c r="R1131" i="9"/>
  <c r="S1132" i="9" s="1"/>
  <c r="Q1132" i="9" l="1"/>
  <c r="T1132" i="9" l="1"/>
  <c r="R1132" i="9"/>
  <c r="S1133" i="9" s="1"/>
  <c r="Q1133" i="9" l="1"/>
  <c r="T1133" i="9" l="1"/>
  <c r="R1133" i="9"/>
  <c r="S1134" i="9" s="1"/>
  <c r="Q1134" i="9" l="1"/>
  <c r="T1134" i="9" l="1"/>
  <c r="R1134" i="9"/>
  <c r="S1135" i="9" s="1"/>
  <c r="Q1135" i="9" l="1"/>
  <c r="T1135" i="9" l="1"/>
  <c r="R1135" i="9"/>
  <c r="S1136" i="9" s="1"/>
  <c r="Q1136" i="9" l="1"/>
  <c r="T1136" i="9" l="1"/>
  <c r="R1136" i="9"/>
  <c r="S1137" i="9" s="1"/>
  <c r="Q1137" i="9" l="1"/>
  <c r="T1137" i="9" l="1"/>
  <c r="R1137" i="9"/>
  <c r="S1138" i="9" s="1"/>
  <c r="Q1138" i="9" l="1"/>
  <c r="T1138" i="9" l="1"/>
  <c r="R1138" i="9"/>
  <c r="S1139" i="9" s="1"/>
  <c r="Q1139" i="9" l="1"/>
  <c r="T1139" i="9" l="1"/>
  <c r="R1139" i="9"/>
  <c r="S1140" i="9" s="1"/>
  <c r="Q1140" i="9" l="1"/>
  <c r="T1140" i="9" l="1"/>
  <c r="R1140" i="9"/>
  <c r="S1141" i="9" s="1"/>
  <c r="Q1141" i="9" l="1"/>
  <c r="T1141" i="9" l="1"/>
  <c r="R1141" i="9"/>
  <c r="S1142" i="9" s="1"/>
  <c r="Q1142" i="9" l="1"/>
  <c r="T1142" i="9" l="1"/>
  <c r="R1142" i="9"/>
  <c r="S1143" i="9" s="1"/>
  <c r="Q1143" i="9" l="1"/>
  <c r="T1143" i="9" l="1"/>
  <c r="R1143" i="9"/>
  <c r="S1144" i="9" s="1"/>
  <c r="Q1144" i="9" l="1"/>
  <c r="T1144" i="9" l="1"/>
  <c r="R1144" i="9"/>
  <c r="S1145" i="9" s="1"/>
  <c r="Q1145" i="9" l="1"/>
  <c r="T1145" i="9" l="1"/>
  <c r="R1145" i="9"/>
  <c r="S1146" i="9" s="1"/>
  <c r="Q1146" i="9" l="1"/>
  <c r="T1146" i="9" l="1"/>
  <c r="R1146" i="9"/>
  <c r="S1147" i="9" s="1"/>
  <c r="Q1147" i="9" l="1"/>
  <c r="T1147" i="9" l="1"/>
  <c r="R1147" i="9"/>
  <c r="S1148" i="9" s="1"/>
  <c r="Q1148" i="9" l="1"/>
  <c r="T1148" i="9" l="1"/>
  <c r="R1148" i="9"/>
  <c r="S1149" i="9" s="1"/>
  <c r="Q1149" i="9" l="1"/>
  <c r="T1149" i="9" l="1"/>
  <c r="R1149" i="9"/>
  <c r="S1150" i="9" s="1"/>
  <c r="Q1150" i="9" l="1"/>
  <c r="T1150" i="9" l="1"/>
  <c r="R1150" i="9"/>
  <c r="S1151" i="9" s="1"/>
  <c r="Q1151" i="9" l="1"/>
  <c r="T1151" i="9" l="1"/>
  <c r="R1151" i="9"/>
  <c r="S1152" i="9" s="1"/>
  <c r="Q1152" i="9" l="1"/>
  <c r="T1152" i="9" l="1"/>
  <c r="R1152" i="9"/>
  <c r="S1153" i="9" s="1"/>
  <c r="Q1153" i="9" l="1"/>
  <c r="T1153" i="9" l="1"/>
  <c r="R1153" i="9"/>
  <c r="S1154" i="9" s="1"/>
  <c r="Q1154" i="9" l="1"/>
  <c r="T1154" i="9" l="1"/>
  <c r="R1154" i="9"/>
  <c r="S1155" i="9" s="1"/>
  <c r="Q1155" i="9" l="1"/>
  <c r="T1155" i="9" l="1"/>
  <c r="R1155" i="9"/>
  <c r="S1156" i="9" s="1"/>
  <c r="Q1156" i="9" l="1"/>
  <c r="T1156" i="9" l="1"/>
  <c r="R1156" i="9"/>
  <c r="S1157" i="9" s="1"/>
  <c r="Q1157" i="9" l="1"/>
  <c r="T1157" i="9" l="1"/>
  <c r="R1157" i="9"/>
  <c r="S1158" i="9" s="1"/>
  <c r="Q1158" i="9" l="1"/>
  <c r="T1158" i="9" l="1"/>
  <c r="R1158" i="9"/>
  <c r="S1159" i="9" s="1"/>
  <c r="Q1159" i="9" l="1"/>
  <c r="T1159" i="9" l="1"/>
  <c r="R1159" i="9"/>
  <c r="S1160" i="9" s="1"/>
  <c r="Q1160" i="9" l="1"/>
  <c r="T1160" i="9" l="1"/>
  <c r="R1160" i="9"/>
  <c r="S1161" i="9" s="1"/>
  <c r="Q1161" i="9" l="1"/>
  <c r="T1161" i="9" l="1"/>
  <c r="R1161" i="9"/>
  <c r="S1162" i="9" s="1"/>
  <c r="Q1162" i="9" l="1"/>
  <c r="T1162" i="9" l="1"/>
  <c r="R1162" i="9"/>
  <c r="S1163" i="9" s="1"/>
  <c r="Q1163" i="9" l="1"/>
  <c r="T1163" i="9" l="1"/>
  <c r="R1163" i="9"/>
  <c r="S1164" i="9" s="1"/>
  <c r="Q1164" i="9" l="1"/>
  <c r="T1164" i="9" l="1"/>
  <c r="R1164" i="9"/>
  <c r="S1165" i="9" s="1"/>
  <c r="Q1165" i="9" l="1"/>
  <c r="T1165" i="9" l="1"/>
  <c r="R1165" i="9"/>
  <c r="S1166" i="9" s="1"/>
  <c r="Q1166" i="9" l="1"/>
  <c r="T1166" i="9" l="1"/>
  <c r="R1166" i="9"/>
  <c r="S1167" i="9" s="1"/>
  <c r="Q1167" i="9" l="1"/>
  <c r="T1167" i="9" l="1"/>
  <c r="R1167" i="9"/>
  <c r="S1168" i="9" s="1"/>
  <c r="Q1168" i="9" l="1"/>
  <c r="T1168" i="9" l="1"/>
  <c r="R1168" i="9"/>
  <c r="S1169" i="9" s="1"/>
  <c r="Q1169" i="9" l="1"/>
  <c r="T1169" i="9" l="1"/>
  <c r="R1169" i="9"/>
  <c r="S1170" i="9" s="1"/>
  <c r="Q1170" i="9" l="1"/>
  <c r="T1170" i="9" l="1"/>
  <c r="R1170" i="9"/>
  <c r="S1171" i="9" s="1"/>
  <c r="Q1171" i="9" l="1"/>
  <c r="T1171" i="9" l="1"/>
  <c r="R1171" i="9"/>
  <c r="S1172" i="9" s="1"/>
  <c r="Q1172" i="9" l="1"/>
  <c r="T1172" i="9" l="1"/>
  <c r="R1172" i="9"/>
  <c r="S1173" i="9" s="1"/>
  <c r="Q1173" i="9" l="1"/>
  <c r="T1173" i="9" l="1"/>
  <c r="R1173" i="9"/>
  <c r="S1174" i="9" s="1"/>
  <c r="Q1174" i="9" l="1"/>
  <c r="T1174" i="9" l="1"/>
  <c r="R1174" i="9"/>
  <c r="S1175" i="9" s="1"/>
  <c r="Q1175" i="9" l="1"/>
  <c r="T1175" i="9" l="1"/>
  <c r="R1175" i="9"/>
  <c r="S1176" i="9" s="1"/>
  <c r="Q1176" i="9" l="1"/>
  <c r="T1176" i="9" l="1"/>
  <c r="R1176" i="9"/>
  <c r="S1177" i="9" s="1"/>
  <c r="Q1177" i="9" l="1"/>
  <c r="T1177" i="9" l="1"/>
  <c r="R1177" i="9"/>
  <c r="S1178" i="9" s="1"/>
  <c r="Q1178" i="9" l="1"/>
  <c r="T1178" i="9" l="1"/>
  <c r="R1178" i="9"/>
  <c r="S1179" i="9" s="1"/>
  <c r="Q1179" i="9" l="1"/>
  <c r="T1179" i="9" l="1"/>
  <c r="R1179" i="9"/>
  <c r="S1180" i="9" s="1"/>
  <c r="Q1180" i="9" l="1"/>
  <c r="T1180" i="9" l="1"/>
  <c r="R1180" i="9"/>
  <c r="S1181" i="9" s="1"/>
  <c r="Q1181" i="9" l="1"/>
  <c r="T1181" i="9" l="1"/>
  <c r="R1181" i="9"/>
  <c r="S1182" i="9" s="1"/>
  <c r="Q1182" i="9" l="1"/>
  <c r="T1182" i="9" l="1"/>
  <c r="R1182" i="9"/>
  <c r="S1183" i="9" s="1"/>
  <c r="Q1183" i="9" l="1"/>
  <c r="T1183" i="9" l="1"/>
  <c r="R1183" i="9"/>
  <c r="S1184" i="9" s="1"/>
  <c r="Q1184" i="9" l="1"/>
  <c r="T1184" i="9" l="1"/>
  <c r="R1184" i="9"/>
  <c r="S1185" i="9" s="1"/>
  <c r="Q1185" i="9" l="1"/>
  <c r="T1185" i="9" l="1"/>
  <c r="R1185" i="9"/>
  <c r="S1186" i="9" s="1"/>
  <c r="Q1186" i="9" l="1"/>
  <c r="T1186" i="9" l="1"/>
  <c r="R1186" i="9"/>
  <c r="S1187" i="9" s="1"/>
  <c r="Q1187" i="9" l="1"/>
  <c r="T1187" i="9" l="1"/>
  <c r="R1187" i="9"/>
  <c r="S1188" i="9" s="1"/>
  <c r="Q1188" i="9" l="1"/>
  <c r="T1188" i="9" l="1"/>
  <c r="R1188" i="9"/>
  <c r="S1189" i="9" s="1"/>
  <c r="Q1189" i="9" l="1"/>
  <c r="T1189" i="9" l="1"/>
  <c r="R1189" i="9"/>
  <c r="S1190" i="9" s="1"/>
  <c r="Q1190" i="9" l="1"/>
  <c r="T1190" i="9" l="1"/>
  <c r="R1190" i="9"/>
  <c r="S1191" i="9" s="1"/>
  <c r="Q1191" i="9" l="1"/>
  <c r="T1191" i="9" l="1"/>
  <c r="R1191" i="9"/>
  <c r="S1192" i="9" s="1"/>
  <c r="Q1192" i="9" l="1"/>
  <c r="T1192" i="9" l="1"/>
  <c r="R1192" i="9"/>
  <c r="S1193" i="9" s="1"/>
  <c r="Q1193" i="9" l="1"/>
  <c r="T1193" i="9" l="1"/>
  <c r="R1193" i="9"/>
  <c r="S1194" i="9" s="1"/>
  <c r="Q1194" i="9" l="1"/>
  <c r="T1194" i="9" l="1"/>
  <c r="R1194" i="9"/>
  <c r="S1195" i="9" s="1"/>
  <c r="Q1195" i="9" l="1"/>
  <c r="T1195" i="9" l="1"/>
  <c r="R1195" i="9"/>
  <c r="S1196" i="9" s="1"/>
  <c r="Q1196" i="9" l="1"/>
  <c r="T1196" i="9" l="1"/>
  <c r="R1196" i="9"/>
  <c r="S1197" i="9" s="1"/>
  <c r="Q1197" i="9" l="1"/>
  <c r="T1197" i="9" l="1"/>
  <c r="R1197" i="9"/>
  <c r="S1198" i="9" s="1"/>
  <c r="Q1198" i="9" l="1"/>
  <c r="T1198" i="9" l="1"/>
  <c r="R1198" i="9"/>
  <c r="S1199" i="9" s="1"/>
  <c r="Q1199" i="9" l="1"/>
  <c r="T1199" i="9" l="1"/>
  <c r="R1199" i="9"/>
  <c r="S1200" i="9" s="1"/>
  <c r="Q1200" i="9" l="1"/>
  <c r="T1200" i="9" l="1"/>
  <c r="R1200" i="9"/>
  <c r="S1201" i="9" s="1"/>
  <c r="Q1201" i="9" l="1"/>
  <c r="T1201" i="9" l="1"/>
  <c r="R1201" i="9"/>
  <c r="S1202" i="9" s="1"/>
  <c r="Q1202" i="9" l="1"/>
  <c r="T1202" i="9" l="1"/>
  <c r="R1202" i="9"/>
  <c r="S1203" i="9" s="1"/>
  <c r="Q1203" i="9" l="1"/>
  <c r="T1203" i="9" l="1"/>
  <c r="R1203" i="9"/>
  <c r="S1204" i="9" s="1"/>
  <c r="Q1204" i="9" l="1"/>
  <c r="T1204" i="9" l="1"/>
  <c r="R1204" i="9"/>
  <c r="S1205" i="9" s="1"/>
  <c r="Q1205" i="9" l="1"/>
  <c r="T1205" i="9" l="1"/>
  <c r="R1205" i="9"/>
  <c r="S1206" i="9" s="1"/>
  <c r="Q1206" i="9" l="1"/>
  <c r="T1206" i="9" l="1"/>
  <c r="R1206" i="9"/>
  <c r="S1207" i="9" s="1"/>
  <c r="Q1207" i="9" l="1"/>
  <c r="T1207" i="9" l="1"/>
  <c r="R1207" i="9"/>
  <c r="S1208" i="9" s="1"/>
  <c r="Q1208" i="9" l="1"/>
  <c r="T1208" i="9" l="1"/>
  <c r="R1208" i="9"/>
  <c r="S1209" i="9" s="1"/>
  <c r="Q1209" i="9" l="1"/>
  <c r="T1209" i="9" l="1"/>
  <c r="R1209" i="9"/>
  <c r="S1210" i="9" s="1"/>
  <c r="Q1210" i="9" l="1"/>
  <c r="T1210" i="9" l="1"/>
  <c r="R1210" i="9"/>
  <c r="S1211" i="9" s="1"/>
  <c r="Q1211" i="9" l="1"/>
  <c r="T1211" i="9" l="1"/>
  <c r="R1211" i="9"/>
  <c r="S1212" i="9" s="1"/>
  <c r="Q1212" i="9" l="1"/>
  <c r="T1212" i="9" l="1"/>
  <c r="R1212" i="9"/>
  <c r="S1213" i="9" s="1"/>
  <c r="Q1213" i="9" l="1"/>
  <c r="T1213" i="9" l="1"/>
  <c r="R1213" i="9"/>
  <c r="S1214" i="9" s="1"/>
  <c r="Q1214" i="9" l="1"/>
  <c r="T1214" i="9" l="1"/>
  <c r="R1214" i="9"/>
  <c r="S1215" i="9" s="1"/>
  <c r="Q1215" i="9" l="1"/>
  <c r="T1215" i="9" l="1"/>
  <c r="R1215" i="9"/>
  <c r="S1216" i="9" s="1"/>
  <c r="Q1216" i="9" l="1"/>
  <c r="T1216" i="9" l="1"/>
  <c r="R1216" i="9"/>
  <c r="S1217" i="9" s="1"/>
  <c r="Q1217" i="9" l="1"/>
  <c r="T1217" i="9" l="1"/>
  <c r="R1217" i="9"/>
  <c r="S1218" i="9" s="1"/>
  <c r="Q1218" i="9" l="1"/>
  <c r="T1218" i="9" l="1"/>
  <c r="R1218" i="9"/>
  <c r="S1219" i="9" s="1"/>
  <c r="Q1219" i="9" l="1"/>
  <c r="T1219" i="9" l="1"/>
  <c r="R1219" i="9"/>
  <c r="S1220" i="9" s="1"/>
  <c r="Q1220" i="9" l="1"/>
  <c r="T1220" i="9" l="1"/>
  <c r="R1220" i="9"/>
  <c r="S1221" i="9" s="1"/>
  <c r="Q1221" i="9" l="1"/>
  <c r="T1221" i="9" l="1"/>
  <c r="R1221" i="9"/>
  <c r="S1222" i="9" s="1"/>
  <c r="Q1222" i="9" l="1"/>
  <c r="T1222" i="9" l="1"/>
  <c r="R1222" i="9"/>
  <c r="S1223" i="9" s="1"/>
  <c r="Q1223" i="9" l="1"/>
  <c r="T1223" i="9" l="1"/>
  <c r="R1223" i="9"/>
  <c r="S1224" i="9" s="1"/>
  <c r="Q1224" i="9" l="1"/>
  <c r="T1224" i="9" l="1"/>
  <c r="R1224" i="9"/>
  <c r="S1225" i="9" s="1"/>
  <c r="Q1225" i="9" l="1"/>
  <c r="T1225" i="9" l="1"/>
  <c r="R1225" i="9"/>
  <c r="S1226" i="9" s="1"/>
  <c r="Q1226" i="9" l="1"/>
  <c r="T1226" i="9" l="1"/>
  <c r="R1226" i="9"/>
  <c r="S1227" i="9" s="1"/>
  <c r="Q1227" i="9" l="1"/>
  <c r="T1227" i="9" l="1"/>
  <c r="R1227" i="9"/>
  <c r="S1228" i="9" s="1"/>
  <c r="Q1228" i="9" l="1"/>
  <c r="T1228" i="9" l="1"/>
  <c r="R1228" i="9"/>
  <c r="S1229" i="9" s="1"/>
  <c r="Q1229" i="9" l="1"/>
  <c r="T1229" i="9" l="1"/>
  <c r="R1229" i="9"/>
  <c r="S1230" i="9" s="1"/>
  <c r="Q1230" i="9" l="1"/>
  <c r="T1230" i="9" l="1"/>
  <c r="R1230" i="9"/>
  <c r="S1231" i="9" s="1"/>
  <c r="Q1231" i="9" l="1"/>
  <c r="T1231" i="9" l="1"/>
  <c r="R1231" i="9"/>
  <c r="S1232" i="9" s="1"/>
  <c r="Q1232" i="9" l="1"/>
  <c r="T1232" i="9" l="1"/>
  <c r="R1232" i="9"/>
  <c r="S1233" i="9" s="1"/>
  <c r="Q1233" i="9" l="1"/>
  <c r="T1233" i="9" l="1"/>
  <c r="R1233" i="9"/>
  <c r="S1234" i="9" s="1"/>
  <c r="Q1234" i="9" l="1"/>
  <c r="T1234" i="9" l="1"/>
  <c r="R1234" i="9"/>
  <c r="S1235" i="9" s="1"/>
  <c r="Q1235" i="9" l="1"/>
  <c r="T1235" i="9" l="1"/>
  <c r="R1235" i="9"/>
  <c r="S1236" i="9" s="1"/>
  <c r="Q1236" i="9" l="1"/>
  <c r="T1236" i="9" l="1"/>
  <c r="R1236" i="9"/>
  <c r="S1237" i="9" s="1"/>
  <c r="Q1237" i="9" l="1"/>
  <c r="T1237" i="9" l="1"/>
  <c r="R1237" i="9"/>
  <c r="S1238" i="9" s="1"/>
  <c r="Q1238" i="9" l="1"/>
  <c r="T1238" i="9" l="1"/>
  <c r="R1238" i="9"/>
  <c r="S1239" i="9" s="1"/>
  <c r="Q1239" i="9" l="1"/>
  <c r="T1239" i="9" l="1"/>
  <c r="R1239" i="9"/>
  <c r="S1240" i="9" s="1"/>
  <c r="Q1240" i="9" l="1"/>
  <c r="T1240" i="9" l="1"/>
  <c r="R1240" i="9"/>
  <c r="S1241" i="9" s="1"/>
  <c r="Q1241" i="9" l="1"/>
  <c r="T1241" i="9" l="1"/>
  <c r="R1241" i="9"/>
  <c r="S1242" i="9" s="1"/>
  <c r="Q1242" i="9" l="1"/>
  <c r="T1242" i="9" l="1"/>
  <c r="R1242" i="9"/>
  <c r="S1243" i="9" s="1"/>
  <c r="Q1243" i="9" l="1"/>
  <c r="T1243" i="9" l="1"/>
  <c r="R1243" i="9"/>
  <c r="S1244" i="9" s="1"/>
  <c r="Q1244" i="9" l="1"/>
  <c r="T1244" i="9" l="1"/>
  <c r="R1244" i="9"/>
  <c r="S1245" i="9" s="1"/>
  <c r="Q1245" i="9" l="1"/>
  <c r="T1245" i="9" l="1"/>
  <c r="R1245" i="9"/>
  <c r="S1246" i="9" s="1"/>
  <c r="Q1246" i="9" l="1"/>
  <c r="T1246" i="9" l="1"/>
  <c r="R1246" i="9"/>
  <c r="S1247" i="9" s="1"/>
  <c r="Q1247" i="9" l="1"/>
  <c r="T1247" i="9" l="1"/>
  <c r="R1247" i="9"/>
  <c r="S1248" i="9" s="1"/>
  <c r="Q1248" i="9" l="1"/>
  <c r="T1248" i="9" l="1"/>
  <c r="R1248" i="9"/>
  <c r="S1249" i="9" s="1"/>
  <c r="Q1249" i="9" l="1"/>
  <c r="T1249" i="9" l="1"/>
  <c r="R1249" i="9"/>
  <c r="S1250" i="9" s="1"/>
  <c r="Q1250" i="9" l="1"/>
  <c r="T1250" i="9" l="1"/>
  <c r="R1250" i="9"/>
  <c r="S1251" i="9" s="1"/>
  <c r="Q1251" i="9" l="1"/>
  <c r="T1251" i="9" l="1"/>
  <c r="R1251" i="9"/>
  <c r="S1252" i="9" s="1"/>
  <c r="Q1252" i="9" l="1"/>
  <c r="T1252" i="9" l="1"/>
  <c r="R1252" i="9"/>
  <c r="S1253" i="9" s="1"/>
  <c r="Q1253" i="9" l="1"/>
  <c r="T1253" i="9" l="1"/>
  <c r="R1253" i="9"/>
  <c r="S1254" i="9" s="1"/>
  <c r="Q1254" i="9" l="1"/>
  <c r="T1254" i="9" l="1"/>
  <c r="R1254" i="9"/>
  <c r="S1255" i="9" s="1"/>
  <c r="Q1255" i="9" l="1"/>
  <c r="T1255" i="9" l="1"/>
  <c r="R1255" i="9"/>
  <c r="S1256" i="9" s="1"/>
  <c r="Q1256" i="9" l="1"/>
  <c r="T1256" i="9" l="1"/>
  <c r="R1256" i="9"/>
  <c r="S1257" i="9" s="1"/>
  <c r="Q1257" i="9" l="1"/>
  <c r="T1257" i="9" l="1"/>
  <c r="R1257" i="9"/>
  <c r="S1258" i="9" s="1"/>
  <c r="Q1258" i="9" l="1"/>
  <c r="T1258" i="9" l="1"/>
  <c r="R1258" i="9"/>
  <c r="S1259" i="9" s="1"/>
  <c r="Q1259" i="9" l="1"/>
  <c r="T1259" i="9" l="1"/>
  <c r="R1259" i="9"/>
  <c r="S1260" i="9" s="1"/>
  <c r="Q1260" i="9" l="1"/>
  <c r="T1260" i="9" l="1"/>
  <c r="R1260" i="9"/>
  <c r="S1261" i="9" s="1"/>
  <c r="Q1261" i="9" l="1"/>
  <c r="T1261" i="9" l="1"/>
  <c r="R1261" i="9"/>
  <c r="S1262" i="9" s="1"/>
  <c r="Q1262" i="9" l="1"/>
  <c r="T1262" i="9" l="1"/>
  <c r="R1262" i="9"/>
  <c r="S1263" i="9" s="1"/>
  <c r="Q1263" i="9" l="1"/>
  <c r="T1263" i="9" l="1"/>
  <c r="R1263" i="9"/>
  <c r="S1264" i="9" s="1"/>
  <c r="Q1264" i="9" l="1"/>
  <c r="T1264" i="9" l="1"/>
  <c r="R1264" i="9"/>
  <c r="S1265" i="9" s="1"/>
  <c r="Q1265" i="9" l="1"/>
  <c r="T1265" i="9" l="1"/>
  <c r="R1265" i="9"/>
  <c r="S1266" i="9" s="1"/>
  <c r="Q1266" i="9" l="1"/>
  <c r="T1266" i="9" l="1"/>
  <c r="R1266" i="9"/>
  <c r="S1267" i="9" s="1"/>
  <c r="Q1267" i="9" l="1"/>
  <c r="T1267" i="9" l="1"/>
  <c r="R1267" i="9"/>
  <c r="S1268" i="9" s="1"/>
  <c r="Q1268" i="9" l="1"/>
  <c r="T1268" i="9" l="1"/>
  <c r="R1268" i="9"/>
  <c r="S1269" i="9" s="1"/>
  <c r="Q1269" i="9" l="1"/>
  <c r="T1269" i="9" l="1"/>
  <c r="R1269" i="9"/>
  <c r="S1270" i="9" s="1"/>
  <c r="Q1270" i="9" l="1"/>
  <c r="T1270" i="9" l="1"/>
  <c r="R1270" i="9"/>
  <c r="S1271" i="9" s="1"/>
  <c r="Q1271" i="9" l="1"/>
  <c r="T1271" i="9" l="1"/>
  <c r="R1271" i="9"/>
  <c r="S1272" i="9" s="1"/>
  <c r="Q1272" i="9" l="1"/>
  <c r="T1272" i="9" l="1"/>
  <c r="R1272" i="9"/>
  <c r="S1273" i="9" s="1"/>
  <c r="Q1273" i="9" l="1"/>
  <c r="T1273" i="9" l="1"/>
  <c r="R1273" i="9"/>
  <c r="S1274" i="9" s="1"/>
  <c r="Q1274" i="9" l="1"/>
  <c r="T1274" i="9" l="1"/>
  <c r="R1274" i="9"/>
  <c r="S1275" i="9" s="1"/>
  <c r="Q1275" i="9" l="1"/>
  <c r="T1275" i="9" l="1"/>
  <c r="R1275" i="9"/>
  <c r="S1276" i="9" s="1"/>
  <c r="Q1276" i="9" l="1"/>
  <c r="T1276" i="9" l="1"/>
  <c r="R1276" i="9"/>
  <c r="S1277" i="9" s="1"/>
  <c r="Q1277" i="9" l="1"/>
  <c r="T1277" i="9" l="1"/>
  <c r="R1277" i="9"/>
  <c r="S1278" i="9" s="1"/>
  <c r="Q1278" i="9" l="1"/>
  <c r="T1278" i="9" l="1"/>
  <c r="R1278" i="9"/>
  <c r="S1279" i="9" s="1"/>
  <c r="Q1279" i="9" l="1"/>
  <c r="T1279" i="9" l="1"/>
  <c r="R1279" i="9"/>
  <c r="S1280" i="9" s="1"/>
  <c r="Q1280" i="9" l="1"/>
  <c r="T1280" i="9" l="1"/>
  <c r="R1280" i="9"/>
  <c r="S1281" i="9" s="1"/>
  <c r="Q1281" i="9" l="1"/>
  <c r="T1281" i="9" l="1"/>
  <c r="R1281" i="9"/>
  <c r="S1282" i="9" s="1"/>
  <c r="Q1282" i="9" l="1"/>
  <c r="T1282" i="9" l="1"/>
  <c r="R1282" i="9"/>
  <c r="S1283" i="9" s="1"/>
  <c r="Q1283" i="9" l="1"/>
  <c r="T1283" i="9" l="1"/>
  <c r="R1283" i="9"/>
  <c r="S1284" i="9" s="1"/>
  <c r="Q1284" i="9" l="1"/>
  <c r="T1284" i="9" l="1"/>
  <c r="R1284" i="9"/>
  <c r="S1285" i="9" s="1"/>
  <c r="Q1285" i="9" l="1"/>
  <c r="T1285" i="9" l="1"/>
  <c r="R1285" i="9"/>
  <c r="S1286" i="9" s="1"/>
  <c r="Q1286" i="9" l="1"/>
  <c r="T1286" i="9" l="1"/>
  <c r="R1286" i="9"/>
  <c r="S1287" i="9" s="1"/>
  <c r="Q1287" i="9" l="1"/>
  <c r="T1287" i="9" l="1"/>
  <c r="R1287" i="9"/>
  <c r="S1288" i="9" s="1"/>
  <c r="Q1288" i="9" l="1"/>
  <c r="T1288" i="9" l="1"/>
  <c r="R1288" i="9"/>
  <c r="S1289" i="9" s="1"/>
  <c r="Q1289" i="9" l="1"/>
  <c r="T1289" i="9" l="1"/>
  <c r="R1289" i="9"/>
  <c r="S1290" i="9" s="1"/>
  <c r="Q1290" i="9" l="1"/>
  <c r="T1290" i="9" l="1"/>
  <c r="R1290" i="9"/>
  <c r="S1291" i="9" s="1"/>
  <c r="Q1291" i="9" l="1"/>
  <c r="T1291" i="9" l="1"/>
  <c r="R1291" i="9"/>
  <c r="S1292" i="9" s="1"/>
  <c r="Q1292" i="9" l="1"/>
  <c r="T1292" i="9" l="1"/>
  <c r="R1292" i="9"/>
  <c r="S1293" i="9" s="1"/>
  <c r="Q1293" i="9" l="1"/>
  <c r="T1293" i="9" l="1"/>
  <c r="R1293" i="9"/>
  <c r="S1294" i="9" s="1"/>
  <c r="Q1294" i="9" l="1"/>
  <c r="T1294" i="9" l="1"/>
  <c r="R1294" i="9"/>
  <c r="S1295" i="9" s="1"/>
  <c r="Q1295" i="9" l="1"/>
  <c r="T1295" i="9" l="1"/>
  <c r="R1295" i="9"/>
  <c r="S1296" i="9" s="1"/>
  <c r="Q1296" i="9" l="1"/>
  <c r="T1296" i="9" l="1"/>
  <c r="R1296" i="9"/>
  <c r="S1297" i="9" s="1"/>
  <c r="Q1297" i="9" l="1"/>
  <c r="T1297" i="9" l="1"/>
  <c r="R1297" i="9"/>
  <c r="S1298" i="9" s="1"/>
  <c r="Q1298" i="9" l="1"/>
  <c r="T1298" i="9" l="1"/>
  <c r="R1298" i="9"/>
  <c r="S1299" i="9" s="1"/>
  <c r="Q1299" i="9" l="1"/>
  <c r="T1299" i="9" l="1"/>
  <c r="R1299" i="9"/>
  <c r="S1300" i="9" s="1"/>
  <c r="Q1300" i="9" l="1"/>
  <c r="T1300" i="9" l="1"/>
  <c r="R1300" i="9"/>
  <c r="S1301" i="9" s="1"/>
  <c r="Q1301" i="9" l="1"/>
  <c r="T1301" i="9" l="1"/>
  <c r="R1301" i="9"/>
  <c r="S1302" i="9" s="1"/>
  <c r="Q1302" i="9" l="1"/>
  <c r="T1302" i="9" l="1"/>
  <c r="R1302" i="9"/>
  <c r="S1303" i="9" s="1"/>
  <c r="Q1303" i="9" l="1"/>
  <c r="T1303" i="9" l="1"/>
  <c r="R1303" i="9"/>
  <c r="S1304" i="9" s="1"/>
  <c r="Q1304" i="9" l="1"/>
  <c r="T1304" i="9" l="1"/>
  <c r="R1304" i="9"/>
  <c r="S1305" i="9" s="1"/>
  <c r="Q1305" i="9" l="1"/>
  <c r="T1305" i="9" l="1"/>
  <c r="R1305" i="9"/>
  <c r="S1306" i="9" s="1"/>
  <c r="Q1306" i="9" l="1"/>
  <c r="T1306" i="9" l="1"/>
  <c r="R1306" i="9"/>
  <c r="S1307" i="9" s="1"/>
  <c r="Q1307" i="9" l="1"/>
  <c r="T1307" i="9" l="1"/>
  <c r="R1307" i="9"/>
  <c r="S1308" i="9" s="1"/>
  <c r="Q1308" i="9" l="1"/>
  <c r="T1308" i="9" l="1"/>
  <c r="R1308" i="9"/>
  <c r="S1309" i="9" s="1"/>
  <c r="Q1309" i="9" l="1"/>
  <c r="T1309" i="9" l="1"/>
  <c r="R1309" i="9"/>
  <c r="S1310" i="9" s="1"/>
  <c r="Q1310" i="9" l="1"/>
  <c r="T1310" i="9" l="1"/>
  <c r="R1310" i="9"/>
  <c r="S1311" i="9" s="1"/>
  <c r="Q1311" i="9" l="1"/>
  <c r="T1311" i="9" l="1"/>
  <c r="R1311" i="9"/>
  <c r="S1312" i="9" s="1"/>
  <c r="Q1312" i="9" l="1"/>
  <c r="T1312" i="9" l="1"/>
  <c r="R1312" i="9"/>
  <c r="S1313" i="9" s="1"/>
  <c r="Q1313" i="9" l="1"/>
  <c r="T1313" i="9" l="1"/>
  <c r="R1313" i="9"/>
  <c r="S1314" i="9" s="1"/>
  <c r="Q1314" i="9" l="1"/>
  <c r="T1314" i="9" l="1"/>
  <c r="R1314" i="9"/>
  <c r="S1315" i="9" s="1"/>
  <c r="Q1315" i="9" l="1"/>
  <c r="T1315" i="9" l="1"/>
  <c r="R1315" i="9"/>
  <c r="S1316" i="9" s="1"/>
  <c r="Q1316" i="9" l="1"/>
  <c r="T1316" i="9" l="1"/>
  <c r="R1316" i="9"/>
  <c r="S1317" i="9" s="1"/>
  <c r="Q1317" i="9" l="1"/>
  <c r="T1317" i="9" l="1"/>
  <c r="R1317" i="9"/>
  <c r="S1318" i="9" s="1"/>
  <c r="Q1318" i="9" l="1"/>
  <c r="T1318" i="9" l="1"/>
  <c r="R1318" i="9"/>
  <c r="S1319" i="9" s="1"/>
  <c r="Q1319" i="9" l="1"/>
  <c r="T1319" i="9" l="1"/>
  <c r="R1319" i="9"/>
  <c r="S1320" i="9" s="1"/>
  <c r="Q1320" i="9" l="1"/>
  <c r="R1320" i="9" l="1"/>
  <c r="S1321" i="9" s="1"/>
  <c r="T1320" i="9"/>
  <c r="Q1321" i="9" l="1"/>
  <c r="R1321" i="9" l="1"/>
  <c r="S1322" i="9" s="1"/>
  <c r="T1321" i="9"/>
  <c r="Q1322" i="9" l="1"/>
  <c r="R1322" i="9" l="1"/>
  <c r="S1323" i="9" s="1"/>
  <c r="T1322" i="9"/>
  <c r="Q1323" i="9" l="1"/>
  <c r="R1323" i="9" l="1"/>
  <c r="S1324" i="9" s="1"/>
  <c r="T1323" i="9"/>
  <c r="Q1324" i="9" l="1"/>
  <c r="R1324" i="9" l="1"/>
  <c r="S1325" i="9" s="1"/>
  <c r="T1324" i="9"/>
  <c r="Q1325" i="9" l="1"/>
  <c r="R1325" i="9" l="1"/>
  <c r="S1326" i="9" s="1"/>
  <c r="T1325" i="9"/>
  <c r="Q1326" i="9" l="1"/>
  <c r="R1326" i="9" l="1"/>
  <c r="S1327" i="9" s="1"/>
  <c r="T1326" i="9"/>
  <c r="Q1327" i="9" l="1"/>
  <c r="R1327" i="9" l="1"/>
  <c r="S1328" i="9" s="1"/>
  <c r="T1327" i="9"/>
  <c r="Q1328" i="9" l="1"/>
  <c r="R1328" i="9" l="1"/>
  <c r="S1329" i="9" s="1"/>
  <c r="T1328" i="9"/>
  <c r="Q1329" i="9" l="1"/>
  <c r="R1329" i="9" l="1"/>
  <c r="S1330" i="9" s="1"/>
  <c r="T1329" i="9"/>
  <c r="Q1330" i="9" l="1"/>
  <c r="R1330" i="9" l="1"/>
  <c r="S1331" i="9" s="1"/>
  <c r="T1330" i="9"/>
  <c r="Q1331" i="9" l="1"/>
  <c r="T1331" i="9" l="1"/>
  <c r="R1331" i="9"/>
  <c r="S1332" i="9" s="1"/>
  <c r="Q1332" i="9" l="1"/>
  <c r="R1332" i="9" l="1"/>
  <c r="S1333" i="9" s="1"/>
  <c r="T1332" i="9"/>
  <c r="Q1333" i="9" l="1"/>
  <c r="R1333" i="9" l="1"/>
  <c r="S1334" i="9" s="1"/>
  <c r="T1333" i="9"/>
  <c r="Q1334" i="9" l="1"/>
  <c r="R1334" i="9" l="1"/>
  <c r="S1335" i="9" s="1"/>
  <c r="T1334" i="9"/>
  <c r="Q1335" i="9" l="1"/>
  <c r="R1335" i="9" l="1"/>
  <c r="S1336" i="9" s="1"/>
  <c r="T1335" i="9"/>
  <c r="Q1336" i="9" l="1"/>
  <c r="R1336" i="9" l="1"/>
  <c r="S1337" i="9" s="1"/>
  <c r="T1336" i="9"/>
  <c r="Q1337" i="9" l="1"/>
  <c r="R1337" i="9" l="1"/>
  <c r="S1338" i="9" s="1"/>
  <c r="T1337" i="9"/>
  <c r="Q1338" i="9" l="1"/>
  <c r="R1338" i="9" l="1"/>
  <c r="S1339" i="9" s="1"/>
  <c r="T1338" i="9"/>
  <c r="Q1339" i="9" l="1"/>
  <c r="R1339" i="9" l="1"/>
  <c r="S1340" i="9" s="1"/>
  <c r="T1339" i="9"/>
  <c r="Q1340" i="9" l="1"/>
  <c r="R1340" i="9" l="1"/>
  <c r="S1341" i="9" s="1"/>
  <c r="T1340" i="9"/>
  <c r="Q1341" i="9" l="1"/>
  <c r="R1341" i="9" l="1"/>
  <c r="S1342" i="9" s="1"/>
  <c r="T1341" i="9"/>
  <c r="Q1342" i="9" l="1"/>
  <c r="T1342" i="9" l="1"/>
  <c r="R1342" i="9"/>
  <c r="S1343" i="9" s="1"/>
  <c r="Q1343" i="9" l="1"/>
  <c r="R1343" i="9" l="1"/>
  <c r="S1344" i="9" s="1"/>
  <c r="T1343" i="9"/>
  <c r="Q1344" i="9" l="1"/>
  <c r="R1344" i="9" l="1"/>
  <c r="S1345" i="9" s="1"/>
  <c r="T1344" i="9"/>
  <c r="Q1345" i="9" l="1"/>
  <c r="R1345" i="9" l="1"/>
  <c r="S1346" i="9" s="1"/>
  <c r="T1345" i="9"/>
  <c r="Q1346" i="9" l="1"/>
  <c r="R1346" i="9" l="1"/>
  <c r="S1347" i="9" s="1"/>
  <c r="T1346" i="9"/>
  <c r="Q1347" i="9" l="1"/>
  <c r="T1347" i="9" l="1"/>
  <c r="R1347" i="9"/>
  <c r="S1348" i="9" s="1"/>
  <c r="Q1348" i="9" l="1"/>
  <c r="R1348" i="9" l="1"/>
  <c r="S1349" i="9" s="1"/>
  <c r="T1348" i="9"/>
  <c r="Q1349" i="9" l="1"/>
  <c r="R1349" i="9" l="1"/>
  <c r="S1350" i="9" s="1"/>
  <c r="T1349" i="9"/>
  <c r="Q1350" i="9" l="1"/>
  <c r="R1350" i="9" l="1"/>
  <c r="S1351" i="9" s="1"/>
  <c r="T1350" i="9"/>
  <c r="Q1351" i="9" l="1"/>
  <c r="T1351" i="9" l="1"/>
  <c r="R1351" i="9"/>
  <c r="S1352" i="9" s="1"/>
  <c r="Q1352" i="9" l="1"/>
  <c r="R1352" i="9" l="1"/>
  <c r="S1353" i="9" s="1"/>
  <c r="T1352" i="9"/>
  <c r="Q1353" i="9" l="1"/>
  <c r="R1353" i="9" l="1"/>
  <c r="S1354" i="9" s="1"/>
  <c r="T1353" i="9"/>
  <c r="Q1354" i="9" l="1"/>
  <c r="T1354" i="9" l="1"/>
  <c r="R1354" i="9"/>
  <c r="S1355" i="9" s="1"/>
  <c r="Q1355" i="9" l="1"/>
  <c r="R1355" i="9" l="1"/>
  <c r="S1356" i="9" s="1"/>
  <c r="T1355" i="9"/>
  <c r="Q1356" i="9" l="1"/>
  <c r="R1356" i="9" l="1"/>
  <c r="S1357" i="9" s="1"/>
  <c r="T1356" i="9"/>
  <c r="Q1357" i="9" l="1"/>
  <c r="T1357" i="9" l="1"/>
  <c r="R1357" i="9"/>
  <c r="S1358" i="9" s="1"/>
  <c r="Q1358" i="9" l="1"/>
  <c r="R1358" i="9" l="1"/>
  <c r="S1359" i="9" s="1"/>
  <c r="T1358" i="9"/>
  <c r="Q1359" i="9" l="1"/>
  <c r="R1359" i="9" l="1"/>
  <c r="S1360" i="9" s="1"/>
  <c r="T1359" i="9"/>
  <c r="Q1360" i="9" l="1"/>
  <c r="T1360" i="9" l="1"/>
  <c r="R1360" i="9"/>
  <c r="S1361" i="9" s="1"/>
  <c r="Q1361" i="9" l="1"/>
  <c r="R1361" i="9" l="1"/>
  <c r="S1362" i="9" s="1"/>
  <c r="T1361" i="9"/>
  <c r="Q1362" i="9" l="1"/>
  <c r="R1362" i="9" l="1"/>
  <c r="S1363" i="9" s="1"/>
  <c r="T1362" i="9"/>
  <c r="Q1363" i="9" l="1"/>
  <c r="T1363" i="9" l="1"/>
  <c r="R1363" i="9"/>
  <c r="S1364" i="9" s="1"/>
  <c r="Q1364" i="9" l="1"/>
  <c r="R1364" i="9" l="1"/>
  <c r="S1365" i="9" s="1"/>
  <c r="T1364" i="9"/>
  <c r="Q1365" i="9" l="1"/>
  <c r="R1365" i="9" l="1"/>
  <c r="S1366" i="9" s="1"/>
  <c r="T1365" i="9"/>
  <c r="Q1366" i="9" l="1"/>
  <c r="T1366" i="9" l="1"/>
  <c r="R1366" i="9"/>
  <c r="S1367" i="9" s="1"/>
  <c r="Q1367" i="9" l="1"/>
  <c r="R1367" i="9" l="1"/>
  <c r="S1368" i="9" s="1"/>
  <c r="T1367" i="9"/>
  <c r="Q1368" i="9" l="1"/>
  <c r="T1368" i="9" l="1"/>
  <c r="R1368" i="9"/>
  <c r="S1369" i="9" s="1"/>
  <c r="Q1369" i="9" l="1"/>
  <c r="R1369" i="9" l="1"/>
  <c r="S1370" i="9" s="1"/>
  <c r="T1369" i="9"/>
  <c r="Q1370" i="9" l="1"/>
  <c r="R1370" i="9" l="1"/>
  <c r="S1371" i="9" s="1"/>
  <c r="T1370" i="9"/>
  <c r="Q1371" i="9" l="1"/>
  <c r="R1371" i="9" l="1"/>
  <c r="S1372" i="9" s="1"/>
  <c r="T1371" i="9"/>
  <c r="Q1372" i="9" l="1"/>
  <c r="T1372" i="9" l="1"/>
  <c r="R1372" i="9"/>
  <c r="S1373" i="9" s="1"/>
  <c r="Q1373" i="9" l="1"/>
  <c r="R1373" i="9" l="1"/>
  <c r="S1374" i="9" s="1"/>
  <c r="T1373" i="9"/>
  <c r="Q1374" i="9" l="1"/>
  <c r="R1374" i="9" l="1"/>
  <c r="S1375" i="9" s="1"/>
  <c r="T1374" i="9"/>
  <c r="Q1375" i="9" l="1"/>
  <c r="T1375" i="9" l="1"/>
  <c r="R1375" i="9"/>
  <c r="S1376" i="9" s="1"/>
  <c r="Q1376" i="9" l="1"/>
  <c r="R1376" i="9" l="1"/>
  <c r="S1377" i="9" s="1"/>
  <c r="T1376" i="9"/>
  <c r="Q1377" i="9" l="1"/>
  <c r="R1377" i="9" l="1"/>
  <c r="S1378" i="9" s="1"/>
  <c r="T1377" i="9"/>
  <c r="Q1378" i="9" l="1"/>
  <c r="T1378" i="9" l="1"/>
  <c r="R1378" i="9"/>
  <c r="S1379" i="9" s="1"/>
  <c r="Q1379" i="9" l="1"/>
  <c r="R1379" i="9" l="1"/>
  <c r="S1380" i="9" s="1"/>
  <c r="T1379" i="9"/>
  <c r="Q1380" i="9" l="1"/>
  <c r="R1380" i="9" l="1"/>
  <c r="S1381" i="9" s="1"/>
  <c r="T1380" i="9"/>
  <c r="Q1381" i="9" l="1"/>
  <c r="T1381" i="9" l="1"/>
  <c r="R1381" i="9"/>
  <c r="S1382" i="9" s="1"/>
  <c r="Q1382" i="9" l="1"/>
  <c r="R1382" i="9" l="1"/>
  <c r="S1383" i="9" s="1"/>
  <c r="T1382" i="9"/>
  <c r="Q1383" i="9" l="1"/>
  <c r="R1383" i="9" l="1"/>
  <c r="S1384" i="9" s="1"/>
  <c r="T1383" i="9"/>
  <c r="Q1384" i="9" l="1"/>
  <c r="T1384" i="9" l="1"/>
  <c r="R1384" i="9"/>
  <c r="S1385" i="9" s="1"/>
  <c r="Q1385" i="9" l="1"/>
  <c r="R1385" i="9" l="1"/>
  <c r="S1386" i="9" s="1"/>
  <c r="T1385" i="9"/>
  <c r="Q1386" i="9" l="1"/>
  <c r="R1386" i="9" l="1"/>
  <c r="S1387" i="9" s="1"/>
  <c r="T1386" i="9"/>
  <c r="Q1387" i="9" l="1"/>
  <c r="T1387" i="9" l="1"/>
  <c r="R1387" i="9"/>
  <c r="S1388" i="9" s="1"/>
  <c r="Q1388" i="9" l="1"/>
  <c r="R1388" i="9" l="1"/>
  <c r="S1389" i="9" s="1"/>
  <c r="T1388" i="9"/>
  <c r="Q1389" i="9" l="1"/>
  <c r="R1389" i="9" l="1"/>
  <c r="S1390" i="9" s="1"/>
  <c r="T1389" i="9"/>
  <c r="Q1390" i="9" l="1"/>
  <c r="T1390" i="9" l="1"/>
  <c r="R1390" i="9"/>
  <c r="S1391" i="9" s="1"/>
  <c r="Q1391" i="9" l="1"/>
  <c r="R1391" i="9" l="1"/>
  <c r="S1392" i="9" s="1"/>
  <c r="T1391" i="9"/>
  <c r="Q1392" i="9" l="1"/>
  <c r="R1392" i="9" l="1"/>
  <c r="S1393" i="9" s="1"/>
  <c r="T1392" i="9"/>
  <c r="Q1393" i="9" l="1"/>
  <c r="T1393" i="9" l="1"/>
  <c r="R1393" i="9"/>
  <c r="S1394" i="9" s="1"/>
  <c r="Q1394" i="9" l="1"/>
  <c r="R1394" i="9" l="1"/>
  <c r="S1395" i="9" s="1"/>
  <c r="T1394" i="9"/>
  <c r="Q1395" i="9" l="1"/>
  <c r="T1395" i="9" l="1"/>
  <c r="R1395" i="9"/>
  <c r="S1396" i="9" s="1"/>
  <c r="Q1396" i="9" l="1"/>
  <c r="R1396" i="9" l="1"/>
  <c r="S1397" i="9" s="1"/>
  <c r="T1396" i="9"/>
  <c r="Q1397" i="9" l="1"/>
  <c r="R1397" i="9" l="1"/>
  <c r="S1398" i="9" s="1"/>
  <c r="T1397" i="9"/>
  <c r="Q1398" i="9" l="1"/>
  <c r="T1398" i="9" l="1"/>
  <c r="R1398" i="9"/>
  <c r="S1399" i="9" s="1"/>
  <c r="Q1399" i="9" l="1"/>
  <c r="R1399" i="9" l="1"/>
  <c r="S1400" i="9" s="1"/>
  <c r="T1399" i="9"/>
  <c r="Q1400" i="9" l="1"/>
  <c r="R1400" i="9" l="1"/>
  <c r="S1401" i="9" s="1"/>
  <c r="T1400" i="9"/>
  <c r="Q1401" i="9" l="1"/>
  <c r="T1401" i="9" l="1"/>
  <c r="R1401" i="9"/>
  <c r="S1402" i="9" s="1"/>
  <c r="Q1402" i="9" s="1"/>
  <c r="R1402" i="9" l="1"/>
  <c r="T1402" i="9"/>
</calcChain>
</file>

<file path=xl/comments1.xml><?xml version="1.0" encoding="utf-8"?>
<comments xmlns="http://schemas.openxmlformats.org/spreadsheetml/2006/main">
  <authors>
    <author>Tiago Dias</author>
    <author>TD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NO - calculation without the pore water pressure increments
YES - calculation considering the PWP increments</t>
        </r>
      </text>
    </comment>
    <comment ref="D1" authorId="1" shapeId="0">
      <text>
        <r>
          <rPr>
            <b/>
            <sz val="9"/>
            <color indexed="81"/>
            <rFont val="Tahoma"/>
            <family val="2"/>
          </rPr>
          <t>Depth from the tunnel roof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X at the edge of the wedge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 xml:space="preserve">Total Vertical Stress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Hydrostatic pore water pressure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Average increment of water pressure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Total vertical stress - Hydrostatic pwp  - Average pwp increment.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>"weight of the wedge", taken as the increment of vertical effective stress multiplied by wedge area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Lateral friction, set as the average vertical effective stress multiplied by K0, friction angle and area.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PWP increment at X=Xwedge, the pwp acting on the inclined side of the wedge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force due to pore water pressure, hydrostatic + uw at end of the wedge</t>
        </r>
      </text>
    </comment>
    <comment ref="B2" authorId="1" shapeId="0">
      <text>
        <r>
          <rPr>
            <b/>
            <sz val="9"/>
            <color indexed="81"/>
            <rFont val="Tahoma"/>
            <family val="2"/>
          </rPr>
          <t>Tunnel Diameter</t>
        </r>
      </text>
    </comment>
    <comment ref="B3" authorId="1" shapeId="0">
      <text>
        <r>
          <rPr>
            <b/>
            <sz val="9"/>
            <color indexed="81"/>
            <rFont val="Tahoma"/>
            <family val="2"/>
          </rPr>
          <t>Tunnel Cover</t>
        </r>
      </text>
    </comment>
    <comment ref="B4" authorId="1" shapeId="0">
      <text>
        <r>
          <rPr>
            <b/>
            <sz val="9"/>
            <color indexed="81"/>
            <rFont val="Tahoma"/>
            <family val="2"/>
          </rPr>
          <t>Depth of groundwater level</t>
        </r>
      </text>
    </comment>
    <comment ref="B5" authorId="1" shapeId="0">
      <text>
        <r>
          <rPr>
            <b/>
            <sz val="9"/>
            <color indexed="81"/>
            <rFont val="Tahoma"/>
            <family val="2"/>
          </rPr>
          <t>Ground specific weight</t>
        </r>
      </text>
    </comment>
    <comment ref="B6" authorId="1" shapeId="0">
      <text>
        <r>
          <rPr>
            <b/>
            <sz val="9"/>
            <color indexed="81"/>
            <rFont val="Tahoma"/>
            <family val="2"/>
          </rPr>
          <t>Water specific weight</t>
        </r>
      </text>
    </comment>
    <comment ref="B7" authorId="1" shapeId="0">
      <text>
        <r>
          <rPr>
            <b/>
            <sz val="9"/>
            <color indexed="81"/>
            <rFont val="Tahoma"/>
            <family val="2"/>
          </rPr>
          <t>Angle of friction (degrees)</t>
        </r>
      </text>
    </comment>
    <comment ref="B8" authorId="1" shapeId="0">
      <text>
        <r>
          <rPr>
            <b/>
            <sz val="9"/>
            <color indexed="81"/>
            <rFont val="Tahoma"/>
            <family val="2"/>
          </rPr>
          <t>Coefficient of earth pressure at rest</t>
        </r>
      </text>
    </comment>
    <comment ref="A14" authorId="1" shapeId="0">
      <text>
        <r>
          <rPr>
            <b/>
            <sz val="9"/>
            <color indexed="81"/>
            <rFont val="Tahoma"/>
            <family val="2"/>
          </rPr>
          <t>Vertical forces due to the overlying prism</t>
        </r>
      </text>
    </comment>
    <comment ref="A15" authorId="1" shapeId="0">
      <text>
        <r>
          <rPr>
            <b/>
            <sz val="9"/>
            <color indexed="81"/>
            <rFont val="Tahoma"/>
            <family val="2"/>
          </rPr>
          <t>Self-weight of the wedge</t>
        </r>
      </text>
    </comment>
    <comment ref="A16" authorId="1" shapeId="0">
      <text>
        <r>
          <rPr>
            <b/>
            <sz val="9"/>
            <color indexed="81"/>
            <rFont val="Tahoma"/>
            <family val="2"/>
          </rPr>
          <t>Shear resistance along the vertical triangular walls of the wedge</t>
        </r>
      </text>
    </comment>
    <comment ref="A17" authorId="1" shapeId="0">
      <text>
        <r>
          <rPr>
            <b/>
            <sz val="9"/>
            <color indexed="81"/>
            <rFont val="Tahoma"/>
            <family val="2"/>
          </rPr>
          <t>Support force</t>
        </r>
      </text>
    </comment>
    <comment ref="A18" authorId="1" shapeId="0">
      <text>
        <r>
          <rPr>
            <b/>
            <sz val="9"/>
            <color indexed="81"/>
            <rFont val="Tahoma"/>
            <family val="2"/>
          </rPr>
          <t>Water force</t>
        </r>
      </text>
    </comment>
    <comment ref="A19" authorId="1" shapeId="0">
      <text>
        <r>
          <rPr>
            <b/>
            <sz val="9"/>
            <color indexed="81"/>
            <rFont val="Tahoma"/>
            <family val="2"/>
          </rPr>
          <t>Forces scaled to the real tunnel area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0" authorId="1" shapeId="0">
      <text>
        <r>
          <rPr>
            <b/>
            <sz val="9"/>
            <color indexed="81"/>
            <rFont val="Tahoma"/>
            <family val="2"/>
          </rPr>
          <t>Wedge angle where the support pressure S is maximum.</t>
        </r>
      </text>
    </comment>
  </commentList>
</comments>
</file>

<file path=xl/sharedStrings.xml><?xml version="1.0" encoding="utf-8"?>
<sst xmlns="http://schemas.openxmlformats.org/spreadsheetml/2006/main" count="44" uniqueCount="42">
  <si>
    <t>D (m)</t>
  </si>
  <si>
    <t>γ ground (kN/m³)</t>
  </si>
  <si>
    <t>γ water (kN/m³)</t>
  </si>
  <si>
    <t>k0 ground</t>
  </si>
  <si>
    <r>
      <rPr>
        <sz val="11"/>
        <color theme="1"/>
        <rFont val="Palatino Linotype"/>
        <family val="1"/>
      </rPr>
      <t>θ</t>
    </r>
    <r>
      <rPr>
        <sz val="11"/>
        <color theme="1"/>
        <rFont val="Calibri"/>
        <family val="2"/>
      </rPr>
      <t xml:space="preserve"> - wedge</t>
    </r>
  </si>
  <si>
    <t>φ ground</t>
  </si>
  <si>
    <t>G (kN)</t>
  </si>
  <si>
    <t>T (kN)</t>
  </si>
  <si>
    <t>F (kN)</t>
  </si>
  <si>
    <t>Zt (m)</t>
  </si>
  <si>
    <t>Zw (m)</t>
  </si>
  <si>
    <t>V (kN)</t>
  </si>
  <si>
    <t>S (kN)</t>
  </si>
  <si>
    <t>-</t>
  </si>
  <si>
    <t>Z (m)</t>
  </si>
  <si>
    <t>X wedge</t>
  </si>
  <si>
    <t>dG (kN)</t>
  </si>
  <si>
    <t>dT (kN)</t>
  </si>
  <si>
    <t>W (kN)</t>
  </si>
  <si>
    <r>
      <t>Consider Δ</t>
    </r>
    <r>
      <rPr>
        <b/>
        <sz val="9.35"/>
        <color rgb="FFFFFF00"/>
        <rFont val="Calibri"/>
        <family val="2"/>
        <scheme val="minor"/>
      </rPr>
      <t>PWP</t>
    </r>
  </si>
  <si>
    <t>RESULTANT FORCES</t>
  </si>
  <si>
    <t>YES</t>
  </si>
  <si>
    <t>Face Pressure (kPa)</t>
  </si>
  <si>
    <t>Min Face Pressure (kPa)</t>
  </si>
  <si>
    <t>kg (m/s)</t>
  </si>
  <si>
    <t>dt(s)</t>
  </si>
  <si>
    <t>t(s)</t>
  </si>
  <si>
    <t>x (m)</t>
  </si>
  <si>
    <t>dx (m)</t>
  </si>
  <si>
    <r>
      <rPr>
        <sz val="11"/>
        <color theme="1"/>
        <rFont val="Calibri"/>
        <family val="2"/>
      </rPr>
      <t>φf</t>
    </r>
    <r>
      <rPr>
        <sz val="11"/>
        <color theme="1"/>
        <rFont val="Calibri"/>
        <family val="2"/>
        <scheme val="minor"/>
      </rPr>
      <t xml:space="preserve"> (m)</t>
    </r>
  </si>
  <si>
    <t>k (m/s)</t>
  </si>
  <si>
    <t>L (m)</t>
  </si>
  <si>
    <t>n</t>
  </si>
  <si>
    <r>
      <t>σ</t>
    </r>
    <r>
      <rPr>
        <sz val="9"/>
        <color theme="1"/>
        <rFont val="Calibri"/>
        <family val="2"/>
        <scheme val="minor"/>
      </rPr>
      <t>v</t>
    </r>
  </si>
  <si>
    <r>
      <t>u</t>
    </r>
    <r>
      <rPr>
        <sz val="9"/>
        <color theme="1"/>
        <rFont val="Calibri"/>
        <family val="2"/>
        <scheme val="minor"/>
      </rPr>
      <t>w</t>
    </r>
  </si>
  <si>
    <r>
      <rPr>
        <sz val="11"/>
        <color theme="1"/>
        <rFont val="Times New Roman"/>
        <family val="1"/>
      </rPr>
      <t>∆</t>
    </r>
    <r>
      <rPr>
        <sz val="11"/>
        <color theme="1"/>
        <rFont val="Calibri"/>
        <family val="2"/>
        <scheme val="minor"/>
      </rPr>
      <t>u</t>
    </r>
    <r>
      <rPr>
        <sz val="9"/>
        <color theme="1"/>
        <rFont val="Calibri"/>
        <family val="2"/>
        <scheme val="minor"/>
      </rPr>
      <t>w</t>
    </r>
    <r>
      <rPr>
        <sz val="11"/>
        <color theme="1"/>
        <rFont val="Calibri"/>
        <family val="2"/>
        <scheme val="minor"/>
      </rPr>
      <t xml:space="preserve"> AVG</t>
    </r>
  </si>
  <si>
    <r>
      <rPr>
        <sz val="11"/>
        <color theme="1"/>
        <rFont val="Palatino Linotype"/>
        <family val="1"/>
      </rPr>
      <t>σ'</t>
    </r>
    <r>
      <rPr>
        <sz val="9"/>
        <color theme="1"/>
        <rFont val="Calibri"/>
        <family val="2"/>
        <scheme val="minor"/>
      </rPr>
      <t>v</t>
    </r>
    <r>
      <rPr>
        <sz val="11"/>
        <color theme="1"/>
        <rFont val="Calibri"/>
        <family val="2"/>
        <scheme val="minor"/>
      </rPr>
      <t xml:space="preserve"> (kPa)</t>
    </r>
  </si>
  <si>
    <r>
      <rPr>
        <sz val="11"/>
        <color theme="1"/>
        <rFont val="Times New Roman"/>
        <family val="1"/>
      </rPr>
      <t>∆</t>
    </r>
    <r>
      <rPr>
        <sz val="11"/>
        <color theme="1"/>
        <rFont val="Calibri"/>
        <family val="2"/>
        <scheme val="minor"/>
      </rPr>
      <t>u</t>
    </r>
    <r>
      <rPr>
        <sz val="9"/>
        <color theme="1"/>
        <rFont val="Calibri"/>
        <family val="2"/>
        <scheme val="minor"/>
      </rPr>
      <t>w</t>
    </r>
    <r>
      <rPr>
        <sz val="11"/>
        <color theme="1"/>
        <rFont val="Calibri"/>
        <family val="2"/>
        <scheme val="minor"/>
      </rPr>
      <t xml:space="preserve"> wedge</t>
    </r>
  </si>
  <si>
    <r>
      <t>u</t>
    </r>
    <r>
      <rPr>
        <sz val="9"/>
        <color theme="1"/>
        <rFont val="Calibri"/>
        <family val="2"/>
        <scheme val="minor"/>
      </rPr>
      <t>w</t>
    </r>
    <r>
      <rPr>
        <sz val="11"/>
        <color theme="1"/>
        <rFont val="Calibri"/>
        <family val="2"/>
        <scheme val="minor"/>
      </rPr>
      <t xml:space="preserve"> (kN)</t>
    </r>
  </si>
  <si>
    <t>V=dx/dt</t>
  </si>
  <si>
    <t>Water P. Dif (kPa)</t>
  </si>
  <si>
    <t>MFP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</si>
</sst>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E+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Palatino Linotype"/>
      <family val="1"/>
    </font>
    <font>
      <sz val="11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9.35"/>
      <color rgb="FFFFFF0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1"/>
      <scheme val="minor"/>
    </font>
    <font>
      <sz val="14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47">
    <xf numFmtId="0" fontId="0" fillId="0" borderId="0" xfId="0"/>
    <xf numFmtId="1" fontId="0" fillId="2" borderId="0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165" fontId="0" fillId="2" borderId="0" xfId="0" applyNumberFormat="1" applyFill="1" applyBorder="1" applyAlignment="1">
      <alignment horizontal="center" vertical="center"/>
    </xf>
    <xf numFmtId="2" fontId="0" fillId="2" borderId="0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9" fontId="0" fillId="2" borderId="0" xfId="1" applyFont="1" applyFill="1" applyBorder="1" applyAlignment="1">
      <alignment horizontal="center" vertical="center"/>
    </xf>
    <xf numFmtId="1" fontId="0" fillId="3" borderId="0" xfId="0" applyNumberFormat="1" applyFill="1" applyBorder="1" applyAlignment="1">
      <alignment horizontal="center" vertical="center"/>
    </xf>
    <xf numFmtId="1" fontId="0" fillId="7" borderId="0" xfId="0" applyNumberFormat="1" applyFill="1" applyBorder="1" applyAlignment="1">
      <alignment horizontal="center" vertical="center"/>
    </xf>
    <xf numFmtId="2" fontId="0" fillId="2" borderId="0" xfId="0" applyNumberFormat="1" applyFont="1" applyFill="1" applyBorder="1" applyAlignment="1">
      <alignment horizontal="center" vertical="center"/>
    </xf>
    <xf numFmtId="2" fontId="10" fillId="2" borderId="0" xfId="0" applyNumberFormat="1" applyFont="1" applyFill="1" applyBorder="1" applyAlignment="1">
      <alignment horizontal="center" vertical="center"/>
    </xf>
    <xf numFmtId="2" fontId="10" fillId="8" borderId="0" xfId="0" applyNumberFormat="1" applyFont="1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2" fontId="0" fillId="7" borderId="0" xfId="0" applyNumberFormat="1" applyFill="1" applyBorder="1" applyAlignment="1">
      <alignment horizontal="center" vertical="center"/>
    </xf>
    <xf numFmtId="2" fontId="0" fillId="4" borderId="0" xfId="0" applyNumberFormat="1" applyFill="1" applyBorder="1" applyAlignment="1">
      <alignment horizontal="center" vertical="center"/>
    </xf>
    <xf numFmtId="164" fontId="0" fillId="2" borderId="0" xfId="0" applyNumberFormat="1" applyFill="1" applyBorder="1" applyAlignment="1">
      <alignment horizontal="center" vertical="center"/>
    </xf>
    <xf numFmtId="1" fontId="0" fillId="8" borderId="0" xfId="0" applyNumberFormat="1" applyFill="1" applyBorder="1" applyAlignment="1">
      <alignment horizontal="center" vertical="center"/>
    </xf>
    <xf numFmtId="1" fontId="0" fillId="4" borderId="0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Border="1"/>
    <xf numFmtId="2" fontId="0" fillId="2" borderId="0" xfId="0" applyNumberFormat="1" applyFill="1" applyBorder="1" applyAlignment="1">
      <alignment horizontal="center"/>
    </xf>
    <xf numFmtId="2" fontId="7" fillId="6" borderId="1" xfId="0" applyNumberFormat="1" applyFont="1" applyFill="1" applyBorder="1" applyAlignment="1">
      <alignment horizontal="center" vertical="center"/>
    </xf>
    <xf numFmtId="1" fontId="7" fillId="6" borderId="2" xfId="0" applyNumberFormat="1" applyFont="1" applyFill="1" applyBorder="1" applyAlignment="1">
      <alignment horizontal="center" vertical="center"/>
    </xf>
    <xf numFmtId="2" fontId="0" fillId="5" borderId="3" xfId="0" applyNumberFormat="1" applyFill="1" applyBorder="1" applyAlignment="1">
      <alignment horizontal="left" vertical="center"/>
    </xf>
    <xf numFmtId="1" fontId="0" fillId="5" borderId="4" xfId="0" applyNumberForma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0" fontId="0" fillId="10" borderId="3" xfId="0" applyFill="1" applyBorder="1"/>
    <xf numFmtId="2" fontId="0" fillId="10" borderId="4" xfId="0" applyNumberFormat="1" applyFill="1" applyBorder="1" applyAlignment="1">
      <alignment horizontal="center"/>
    </xf>
    <xf numFmtId="165" fontId="0" fillId="10" borderId="4" xfId="0" applyNumberFormat="1" applyFill="1" applyBorder="1" applyAlignment="1">
      <alignment horizontal="center"/>
    </xf>
    <xf numFmtId="2" fontId="1" fillId="8" borderId="3" xfId="0" applyNumberFormat="1" applyFont="1" applyFill="1" applyBorder="1" applyAlignment="1">
      <alignment horizontal="left" vertical="center"/>
    </xf>
    <xf numFmtId="1" fontId="0" fillId="8" borderId="4" xfId="0" applyNumberFormat="1" applyFill="1" applyBorder="1" applyAlignment="1">
      <alignment horizontal="center" vertical="center"/>
    </xf>
    <xf numFmtId="2" fontId="0" fillId="3" borderId="3" xfId="0" applyNumberFormat="1" applyFill="1" applyBorder="1" applyAlignment="1">
      <alignment horizontal="left" vertical="center"/>
    </xf>
    <xf numFmtId="1" fontId="0" fillId="3" borderId="4" xfId="0" applyNumberFormat="1" applyFill="1" applyBorder="1" applyAlignment="1">
      <alignment horizontal="center" vertical="center"/>
    </xf>
    <xf numFmtId="2" fontId="0" fillId="7" borderId="3" xfId="0" applyNumberFormat="1" applyFill="1" applyBorder="1" applyAlignment="1">
      <alignment horizontal="left" vertical="center"/>
    </xf>
    <xf numFmtId="1" fontId="0" fillId="7" borderId="4" xfId="0" applyNumberFormat="1" applyFill="1" applyBorder="1" applyAlignment="1">
      <alignment horizontal="center" vertical="center"/>
    </xf>
    <xf numFmtId="2" fontId="0" fillId="2" borderId="3" xfId="0" applyNumberFormat="1" applyFill="1" applyBorder="1" applyAlignment="1">
      <alignment horizontal="left" vertical="center"/>
    </xf>
    <xf numFmtId="1" fontId="0" fillId="2" borderId="4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left" vertical="center"/>
    </xf>
    <xf numFmtId="1" fontId="0" fillId="4" borderId="4" xfId="0" applyNumberFormat="1" applyFill="1" applyBorder="1" applyAlignment="1">
      <alignment horizontal="center" vertical="center"/>
    </xf>
    <xf numFmtId="2" fontId="0" fillId="2" borderId="3" xfId="0" applyNumberFormat="1" applyFont="1" applyFill="1" applyBorder="1" applyAlignment="1">
      <alignment horizontal="left" vertical="center"/>
    </xf>
    <xf numFmtId="164" fontId="0" fillId="2" borderId="4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left" vertical="center" wrapText="1"/>
    </xf>
    <xf numFmtId="0" fontId="0" fillId="2" borderId="5" xfId="0" applyFill="1" applyBorder="1" applyAlignment="1">
      <alignment horizontal="left" vertical="center"/>
    </xf>
    <xf numFmtId="1" fontId="0" fillId="9" borderId="6" xfId="0" applyNumberForma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46093749999999"/>
          <c:y val="2.8685083506770889E-2"/>
          <c:w val="0.75465017361111109"/>
          <c:h val="0.829764891304498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'Face Support'!$T$1</c:f>
              <c:strCache>
                <c:ptCount val="1"/>
                <c:pt idx="0">
                  <c:v>φf (m)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'Face Support'!$P$2:$P$1497</c:f>
              <c:numCache>
                <c:formatCode>General</c:formatCode>
                <c:ptCount val="1496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  <c:pt idx="121">
                  <c:v>605</c:v>
                </c:pt>
                <c:pt idx="122">
                  <c:v>610</c:v>
                </c:pt>
                <c:pt idx="123">
                  <c:v>615</c:v>
                </c:pt>
                <c:pt idx="124">
                  <c:v>620</c:v>
                </c:pt>
                <c:pt idx="125">
                  <c:v>625</c:v>
                </c:pt>
                <c:pt idx="126">
                  <c:v>630</c:v>
                </c:pt>
                <c:pt idx="127">
                  <c:v>635</c:v>
                </c:pt>
                <c:pt idx="128">
                  <c:v>640</c:v>
                </c:pt>
                <c:pt idx="129">
                  <c:v>645</c:v>
                </c:pt>
                <c:pt idx="130">
                  <c:v>650</c:v>
                </c:pt>
                <c:pt idx="131">
                  <c:v>655</c:v>
                </c:pt>
                <c:pt idx="132">
                  <c:v>660</c:v>
                </c:pt>
                <c:pt idx="133">
                  <c:v>665</c:v>
                </c:pt>
                <c:pt idx="134">
                  <c:v>670</c:v>
                </c:pt>
                <c:pt idx="135">
                  <c:v>675</c:v>
                </c:pt>
                <c:pt idx="136">
                  <c:v>680</c:v>
                </c:pt>
                <c:pt idx="137">
                  <c:v>685</c:v>
                </c:pt>
                <c:pt idx="138">
                  <c:v>690</c:v>
                </c:pt>
                <c:pt idx="139">
                  <c:v>695</c:v>
                </c:pt>
                <c:pt idx="140">
                  <c:v>700</c:v>
                </c:pt>
                <c:pt idx="141">
                  <c:v>705</c:v>
                </c:pt>
                <c:pt idx="142">
                  <c:v>710</c:v>
                </c:pt>
                <c:pt idx="143">
                  <c:v>715</c:v>
                </c:pt>
                <c:pt idx="144">
                  <c:v>720</c:v>
                </c:pt>
                <c:pt idx="145">
                  <c:v>725</c:v>
                </c:pt>
                <c:pt idx="146">
                  <c:v>730</c:v>
                </c:pt>
                <c:pt idx="147">
                  <c:v>735</c:v>
                </c:pt>
                <c:pt idx="148">
                  <c:v>740</c:v>
                </c:pt>
                <c:pt idx="149">
                  <c:v>745</c:v>
                </c:pt>
                <c:pt idx="150">
                  <c:v>750</c:v>
                </c:pt>
                <c:pt idx="151">
                  <c:v>755</c:v>
                </c:pt>
                <c:pt idx="152">
                  <c:v>760</c:v>
                </c:pt>
                <c:pt idx="153">
                  <c:v>765</c:v>
                </c:pt>
                <c:pt idx="154">
                  <c:v>770</c:v>
                </c:pt>
                <c:pt idx="155">
                  <c:v>775</c:v>
                </c:pt>
                <c:pt idx="156">
                  <c:v>780</c:v>
                </c:pt>
                <c:pt idx="157">
                  <c:v>785</c:v>
                </c:pt>
                <c:pt idx="158">
                  <c:v>790</c:v>
                </c:pt>
                <c:pt idx="159">
                  <c:v>795</c:v>
                </c:pt>
                <c:pt idx="160">
                  <c:v>800</c:v>
                </c:pt>
                <c:pt idx="161">
                  <c:v>805</c:v>
                </c:pt>
                <c:pt idx="162">
                  <c:v>810</c:v>
                </c:pt>
                <c:pt idx="163">
                  <c:v>815</c:v>
                </c:pt>
                <c:pt idx="164">
                  <c:v>820</c:v>
                </c:pt>
                <c:pt idx="165">
                  <c:v>825</c:v>
                </c:pt>
                <c:pt idx="166">
                  <c:v>830</c:v>
                </c:pt>
                <c:pt idx="167">
                  <c:v>835</c:v>
                </c:pt>
                <c:pt idx="168">
                  <c:v>840</c:v>
                </c:pt>
                <c:pt idx="169">
                  <c:v>845</c:v>
                </c:pt>
                <c:pt idx="170">
                  <c:v>850</c:v>
                </c:pt>
                <c:pt idx="171">
                  <c:v>855</c:v>
                </c:pt>
                <c:pt idx="172">
                  <c:v>860</c:v>
                </c:pt>
                <c:pt idx="173">
                  <c:v>865</c:v>
                </c:pt>
                <c:pt idx="174">
                  <c:v>870</c:v>
                </c:pt>
                <c:pt idx="175">
                  <c:v>875</c:v>
                </c:pt>
                <c:pt idx="176">
                  <c:v>880</c:v>
                </c:pt>
                <c:pt idx="177">
                  <c:v>885</c:v>
                </c:pt>
                <c:pt idx="178">
                  <c:v>890</c:v>
                </c:pt>
                <c:pt idx="179">
                  <c:v>895</c:v>
                </c:pt>
                <c:pt idx="180">
                  <c:v>900</c:v>
                </c:pt>
                <c:pt idx="181">
                  <c:v>905</c:v>
                </c:pt>
                <c:pt idx="182">
                  <c:v>910</c:v>
                </c:pt>
                <c:pt idx="183">
                  <c:v>915</c:v>
                </c:pt>
                <c:pt idx="184">
                  <c:v>920</c:v>
                </c:pt>
                <c:pt idx="185">
                  <c:v>925</c:v>
                </c:pt>
                <c:pt idx="186">
                  <c:v>930</c:v>
                </c:pt>
                <c:pt idx="187">
                  <c:v>935</c:v>
                </c:pt>
                <c:pt idx="188">
                  <c:v>940</c:v>
                </c:pt>
                <c:pt idx="189">
                  <c:v>945</c:v>
                </c:pt>
                <c:pt idx="190">
                  <c:v>950</c:v>
                </c:pt>
                <c:pt idx="191">
                  <c:v>955</c:v>
                </c:pt>
                <c:pt idx="192">
                  <c:v>960</c:v>
                </c:pt>
                <c:pt idx="193">
                  <c:v>965</c:v>
                </c:pt>
                <c:pt idx="194">
                  <c:v>970</c:v>
                </c:pt>
                <c:pt idx="195">
                  <c:v>975</c:v>
                </c:pt>
                <c:pt idx="196">
                  <c:v>980</c:v>
                </c:pt>
                <c:pt idx="197">
                  <c:v>985</c:v>
                </c:pt>
                <c:pt idx="198">
                  <c:v>990</c:v>
                </c:pt>
                <c:pt idx="199">
                  <c:v>995</c:v>
                </c:pt>
                <c:pt idx="200">
                  <c:v>1000</c:v>
                </c:pt>
                <c:pt idx="201">
                  <c:v>1005</c:v>
                </c:pt>
                <c:pt idx="202">
                  <c:v>1010</c:v>
                </c:pt>
                <c:pt idx="203">
                  <c:v>1015</c:v>
                </c:pt>
                <c:pt idx="204">
                  <c:v>1020</c:v>
                </c:pt>
                <c:pt idx="205">
                  <c:v>1025</c:v>
                </c:pt>
                <c:pt idx="206">
                  <c:v>1030</c:v>
                </c:pt>
                <c:pt idx="207">
                  <c:v>1035</c:v>
                </c:pt>
                <c:pt idx="208">
                  <c:v>1040</c:v>
                </c:pt>
                <c:pt idx="209">
                  <c:v>1045</c:v>
                </c:pt>
                <c:pt idx="210">
                  <c:v>1050</c:v>
                </c:pt>
                <c:pt idx="211">
                  <c:v>1055</c:v>
                </c:pt>
                <c:pt idx="212">
                  <c:v>1060</c:v>
                </c:pt>
                <c:pt idx="213">
                  <c:v>1065</c:v>
                </c:pt>
                <c:pt idx="214">
                  <c:v>1070</c:v>
                </c:pt>
                <c:pt idx="215">
                  <c:v>1075</c:v>
                </c:pt>
                <c:pt idx="216">
                  <c:v>1080</c:v>
                </c:pt>
                <c:pt idx="217">
                  <c:v>1085</c:v>
                </c:pt>
                <c:pt idx="218">
                  <c:v>1090</c:v>
                </c:pt>
                <c:pt idx="219">
                  <c:v>1095</c:v>
                </c:pt>
                <c:pt idx="220">
                  <c:v>1100</c:v>
                </c:pt>
                <c:pt idx="221">
                  <c:v>1105</c:v>
                </c:pt>
                <c:pt idx="222">
                  <c:v>1110</c:v>
                </c:pt>
                <c:pt idx="223">
                  <c:v>1115</c:v>
                </c:pt>
                <c:pt idx="224">
                  <c:v>1120</c:v>
                </c:pt>
                <c:pt idx="225">
                  <c:v>1125</c:v>
                </c:pt>
                <c:pt idx="226">
                  <c:v>1130</c:v>
                </c:pt>
                <c:pt idx="227">
                  <c:v>1135</c:v>
                </c:pt>
                <c:pt idx="228">
                  <c:v>1140</c:v>
                </c:pt>
                <c:pt idx="229">
                  <c:v>1145</c:v>
                </c:pt>
                <c:pt idx="230">
                  <c:v>1150</c:v>
                </c:pt>
                <c:pt idx="231">
                  <c:v>1155</c:v>
                </c:pt>
                <c:pt idx="232">
                  <c:v>1160</c:v>
                </c:pt>
                <c:pt idx="233">
                  <c:v>1165</c:v>
                </c:pt>
                <c:pt idx="234">
                  <c:v>1170</c:v>
                </c:pt>
                <c:pt idx="235">
                  <c:v>1175</c:v>
                </c:pt>
                <c:pt idx="236">
                  <c:v>1180</c:v>
                </c:pt>
                <c:pt idx="237">
                  <c:v>1185</c:v>
                </c:pt>
                <c:pt idx="238">
                  <c:v>1190</c:v>
                </c:pt>
                <c:pt idx="239">
                  <c:v>1195</c:v>
                </c:pt>
                <c:pt idx="240">
                  <c:v>1200</c:v>
                </c:pt>
                <c:pt idx="241">
                  <c:v>1205</c:v>
                </c:pt>
                <c:pt idx="242">
                  <c:v>1210</c:v>
                </c:pt>
                <c:pt idx="243">
                  <c:v>1215</c:v>
                </c:pt>
                <c:pt idx="244">
                  <c:v>1220</c:v>
                </c:pt>
                <c:pt idx="245">
                  <c:v>1225</c:v>
                </c:pt>
                <c:pt idx="246">
                  <c:v>1230</c:v>
                </c:pt>
                <c:pt idx="247">
                  <c:v>1235</c:v>
                </c:pt>
                <c:pt idx="248">
                  <c:v>1240</c:v>
                </c:pt>
                <c:pt idx="249">
                  <c:v>1245</c:v>
                </c:pt>
                <c:pt idx="250">
                  <c:v>1250</c:v>
                </c:pt>
                <c:pt idx="251">
                  <c:v>1255</c:v>
                </c:pt>
                <c:pt idx="252">
                  <c:v>1260</c:v>
                </c:pt>
                <c:pt idx="253">
                  <c:v>1265</c:v>
                </c:pt>
                <c:pt idx="254">
                  <c:v>1270</c:v>
                </c:pt>
                <c:pt idx="255">
                  <c:v>1275</c:v>
                </c:pt>
                <c:pt idx="256">
                  <c:v>1280</c:v>
                </c:pt>
                <c:pt idx="257">
                  <c:v>1285</c:v>
                </c:pt>
                <c:pt idx="258">
                  <c:v>1290</c:v>
                </c:pt>
                <c:pt idx="259">
                  <c:v>1295</c:v>
                </c:pt>
                <c:pt idx="260">
                  <c:v>1300</c:v>
                </c:pt>
                <c:pt idx="261">
                  <c:v>1305</c:v>
                </c:pt>
                <c:pt idx="262">
                  <c:v>1310</c:v>
                </c:pt>
                <c:pt idx="263">
                  <c:v>1315</c:v>
                </c:pt>
                <c:pt idx="264">
                  <c:v>1320</c:v>
                </c:pt>
                <c:pt idx="265">
                  <c:v>1325</c:v>
                </c:pt>
                <c:pt idx="266">
                  <c:v>1330</c:v>
                </c:pt>
                <c:pt idx="267">
                  <c:v>1335</c:v>
                </c:pt>
                <c:pt idx="268">
                  <c:v>1340</c:v>
                </c:pt>
                <c:pt idx="269">
                  <c:v>1345</c:v>
                </c:pt>
                <c:pt idx="270">
                  <c:v>1350</c:v>
                </c:pt>
                <c:pt idx="271">
                  <c:v>1355</c:v>
                </c:pt>
                <c:pt idx="272">
                  <c:v>1360</c:v>
                </c:pt>
                <c:pt idx="273">
                  <c:v>1365</c:v>
                </c:pt>
                <c:pt idx="274">
                  <c:v>1370</c:v>
                </c:pt>
                <c:pt idx="275">
                  <c:v>1375</c:v>
                </c:pt>
                <c:pt idx="276">
                  <c:v>1380</c:v>
                </c:pt>
                <c:pt idx="277">
                  <c:v>1385</c:v>
                </c:pt>
                <c:pt idx="278">
                  <c:v>1390</c:v>
                </c:pt>
                <c:pt idx="279">
                  <c:v>1395</c:v>
                </c:pt>
                <c:pt idx="280">
                  <c:v>1400</c:v>
                </c:pt>
                <c:pt idx="281">
                  <c:v>1405</c:v>
                </c:pt>
                <c:pt idx="282">
                  <c:v>1410</c:v>
                </c:pt>
                <c:pt idx="283">
                  <c:v>1415</c:v>
                </c:pt>
                <c:pt idx="284">
                  <c:v>1420</c:v>
                </c:pt>
                <c:pt idx="285">
                  <c:v>1425</c:v>
                </c:pt>
                <c:pt idx="286">
                  <c:v>1430</c:v>
                </c:pt>
                <c:pt idx="287">
                  <c:v>1435</c:v>
                </c:pt>
                <c:pt idx="288">
                  <c:v>1440</c:v>
                </c:pt>
                <c:pt idx="289">
                  <c:v>1445</c:v>
                </c:pt>
                <c:pt idx="290">
                  <c:v>1450</c:v>
                </c:pt>
                <c:pt idx="291">
                  <c:v>1455</c:v>
                </c:pt>
                <c:pt idx="292">
                  <c:v>1460</c:v>
                </c:pt>
                <c:pt idx="293">
                  <c:v>1465</c:v>
                </c:pt>
                <c:pt idx="294">
                  <c:v>1470</c:v>
                </c:pt>
                <c:pt idx="295">
                  <c:v>1475</c:v>
                </c:pt>
                <c:pt idx="296">
                  <c:v>1480</c:v>
                </c:pt>
                <c:pt idx="297">
                  <c:v>1485</c:v>
                </c:pt>
                <c:pt idx="298">
                  <c:v>1490</c:v>
                </c:pt>
                <c:pt idx="299">
                  <c:v>1495</c:v>
                </c:pt>
                <c:pt idx="300">
                  <c:v>1500</c:v>
                </c:pt>
                <c:pt idx="301">
                  <c:v>1505</c:v>
                </c:pt>
                <c:pt idx="302">
                  <c:v>1510</c:v>
                </c:pt>
                <c:pt idx="303">
                  <c:v>1515</c:v>
                </c:pt>
                <c:pt idx="304">
                  <c:v>1520</c:v>
                </c:pt>
                <c:pt idx="305">
                  <c:v>1525</c:v>
                </c:pt>
                <c:pt idx="306">
                  <c:v>1530</c:v>
                </c:pt>
                <c:pt idx="307">
                  <c:v>1535</c:v>
                </c:pt>
                <c:pt idx="308">
                  <c:v>1540</c:v>
                </c:pt>
                <c:pt idx="309">
                  <c:v>1545</c:v>
                </c:pt>
                <c:pt idx="310">
                  <c:v>1550</c:v>
                </c:pt>
                <c:pt idx="311">
                  <c:v>1555</c:v>
                </c:pt>
                <c:pt idx="312">
                  <c:v>1560</c:v>
                </c:pt>
                <c:pt idx="313">
                  <c:v>1565</c:v>
                </c:pt>
                <c:pt idx="314">
                  <c:v>1570</c:v>
                </c:pt>
                <c:pt idx="315">
                  <c:v>1575</c:v>
                </c:pt>
                <c:pt idx="316">
                  <c:v>1580</c:v>
                </c:pt>
                <c:pt idx="317">
                  <c:v>1585</c:v>
                </c:pt>
                <c:pt idx="318">
                  <c:v>1590</c:v>
                </c:pt>
                <c:pt idx="319">
                  <c:v>1595</c:v>
                </c:pt>
                <c:pt idx="320">
                  <c:v>1600</c:v>
                </c:pt>
                <c:pt idx="321">
                  <c:v>1605</c:v>
                </c:pt>
                <c:pt idx="322">
                  <c:v>1610</c:v>
                </c:pt>
                <c:pt idx="323">
                  <c:v>1615</c:v>
                </c:pt>
                <c:pt idx="324">
                  <c:v>1620</c:v>
                </c:pt>
                <c:pt idx="325">
                  <c:v>1625</c:v>
                </c:pt>
                <c:pt idx="326">
                  <c:v>1630</c:v>
                </c:pt>
                <c:pt idx="327">
                  <c:v>1635</c:v>
                </c:pt>
                <c:pt idx="328">
                  <c:v>1640</c:v>
                </c:pt>
                <c:pt idx="329">
                  <c:v>1645</c:v>
                </c:pt>
                <c:pt idx="330">
                  <c:v>1650</c:v>
                </c:pt>
                <c:pt idx="331">
                  <c:v>1655</c:v>
                </c:pt>
                <c:pt idx="332">
                  <c:v>1660</c:v>
                </c:pt>
                <c:pt idx="333">
                  <c:v>1665</c:v>
                </c:pt>
                <c:pt idx="334">
                  <c:v>1670</c:v>
                </c:pt>
                <c:pt idx="335">
                  <c:v>1675</c:v>
                </c:pt>
                <c:pt idx="336">
                  <c:v>1680</c:v>
                </c:pt>
                <c:pt idx="337">
                  <c:v>1685</c:v>
                </c:pt>
                <c:pt idx="338">
                  <c:v>1690</c:v>
                </c:pt>
                <c:pt idx="339">
                  <c:v>1695</c:v>
                </c:pt>
                <c:pt idx="340">
                  <c:v>1700</c:v>
                </c:pt>
                <c:pt idx="341">
                  <c:v>1705</c:v>
                </c:pt>
                <c:pt idx="342">
                  <c:v>1710</c:v>
                </c:pt>
                <c:pt idx="343">
                  <c:v>1715</c:v>
                </c:pt>
                <c:pt idx="344">
                  <c:v>1720</c:v>
                </c:pt>
                <c:pt idx="345">
                  <c:v>1725</c:v>
                </c:pt>
                <c:pt idx="346">
                  <c:v>1730</c:v>
                </c:pt>
                <c:pt idx="347">
                  <c:v>1735</c:v>
                </c:pt>
                <c:pt idx="348">
                  <c:v>1740</c:v>
                </c:pt>
                <c:pt idx="349">
                  <c:v>1745</c:v>
                </c:pt>
                <c:pt idx="350">
                  <c:v>1750</c:v>
                </c:pt>
                <c:pt idx="351">
                  <c:v>1755</c:v>
                </c:pt>
                <c:pt idx="352">
                  <c:v>1760</c:v>
                </c:pt>
                <c:pt idx="353">
                  <c:v>1765</c:v>
                </c:pt>
                <c:pt idx="354">
                  <c:v>1770</c:v>
                </c:pt>
                <c:pt idx="355">
                  <c:v>1775</c:v>
                </c:pt>
                <c:pt idx="356">
                  <c:v>1780</c:v>
                </c:pt>
                <c:pt idx="357">
                  <c:v>1785</c:v>
                </c:pt>
                <c:pt idx="358">
                  <c:v>1790</c:v>
                </c:pt>
                <c:pt idx="359">
                  <c:v>1795</c:v>
                </c:pt>
                <c:pt idx="360">
                  <c:v>1800</c:v>
                </c:pt>
                <c:pt idx="361">
                  <c:v>1805</c:v>
                </c:pt>
                <c:pt idx="362">
                  <c:v>1810</c:v>
                </c:pt>
                <c:pt idx="363">
                  <c:v>1815</c:v>
                </c:pt>
                <c:pt idx="364">
                  <c:v>1820</c:v>
                </c:pt>
                <c:pt idx="365">
                  <c:v>1825</c:v>
                </c:pt>
                <c:pt idx="366">
                  <c:v>1830</c:v>
                </c:pt>
                <c:pt idx="367">
                  <c:v>1835</c:v>
                </c:pt>
                <c:pt idx="368">
                  <c:v>1840</c:v>
                </c:pt>
                <c:pt idx="369">
                  <c:v>1845</c:v>
                </c:pt>
                <c:pt idx="370">
                  <c:v>1850</c:v>
                </c:pt>
                <c:pt idx="371">
                  <c:v>1855</c:v>
                </c:pt>
                <c:pt idx="372">
                  <c:v>1860</c:v>
                </c:pt>
                <c:pt idx="373">
                  <c:v>1865</c:v>
                </c:pt>
                <c:pt idx="374">
                  <c:v>1870</c:v>
                </c:pt>
                <c:pt idx="375">
                  <c:v>1875</c:v>
                </c:pt>
                <c:pt idx="376">
                  <c:v>1880</c:v>
                </c:pt>
                <c:pt idx="377">
                  <c:v>1885</c:v>
                </c:pt>
                <c:pt idx="378">
                  <c:v>1890</c:v>
                </c:pt>
                <c:pt idx="379">
                  <c:v>1895</c:v>
                </c:pt>
                <c:pt idx="380">
                  <c:v>1900</c:v>
                </c:pt>
                <c:pt idx="381">
                  <c:v>1905</c:v>
                </c:pt>
                <c:pt idx="382">
                  <c:v>1910</c:v>
                </c:pt>
                <c:pt idx="383">
                  <c:v>1915</c:v>
                </c:pt>
                <c:pt idx="384">
                  <c:v>1920</c:v>
                </c:pt>
                <c:pt idx="385">
                  <c:v>1925</c:v>
                </c:pt>
                <c:pt idx="386">
                  <c:v>1930</c:v>
                </c:pt>
                <c:pt idx="387">
                  <c:v>1935</c:v>
                </c:pt>
                <c:pt idx="388">
                  <c:v>1940</c:v>
                </c:pt>
                <c:pt idx="389">
                  <c:v>1945</c:v>
                </c:pt>
                <c:pt idx="390">
                  <c:v>1950</c:v>
                </c:pt>
                <c:pt idx="391">
                  <c:v>1955</c:v>
                </c:pt>
                <c:pt idx="392">
                  <c:v>1960</c:v>
                </c:pt>
                <c:pt idx="393">
                  <c:v>1965</c:v>
                </c:pt>
                <c:pt idx="394">
                  <c:v>1970</c:v>
                </c:pt>
                <c:pt idx="395">
                  <c:v>1975</c:v>
                </c:pt>
                <c:pt idx="396">
                  <c:v>1980</c:v>
                </c:pt>
                <c:pt idx="397">
                  <c:v>1985</c:v>
                </c:pt>
                <c:pt idx="398">
                  <c:v>1990</c:v>
                </c:pt>
                <c:pt idx="399">
                  <c:v>1995</c:v>
                </c:pt>
                <c:pt idx="400">
                  <c:v>2000</c:v>
                </c:pt>
                <c:pt idx="401">
                  <c:v>2005</c:v>
                </c:pt>
                <c:pt idx="402">
                  <c:v>2010</c:v>
                </c:pt>
                <c:pt idx="403">
                  <c:v>2015</c:v>
                </c:pt>
                <c:pt idx="404">
                  <c:v>2020</c:v>
                </c:pt>
                <c:pt idx="405">
                  <c:v>2025</c:v>
                </c:pt>
                <c:pt idx="406">
                  <c:v>2030</c:v>
                </c:pt>
                <c:pt idx="407">
                  <c:v>2035</c:v>
                </c:pt>
                <c:pt idx="408">
                  <c:v>2040</c:v>
                </c:pt>
                <c:pt idx="409">
                  <c:v>2045</c:v>
                </c:pt>
                <c:pt idx="410">
                  <c:v>2050</c:v>
                </c:pt>
                <c:pt idx="411">
                  <c:v>2055</c:v>
                </c:pt>
                <c:pt idx="412">
                  <c:v>2060</c:v>
                </c:pt>
                <c:pt idx="413">
                  <c:v>2065</c:v>
                </c:pt>
                <c:pt idx="414">
                  <c:v>2070</c:v>
                </c:pt>
                <c:pt idx="415">
                  <c:v>2075</c:v>
                </c:pt>
                <c:pt idx="416">
                  <c:v>2080</c:v>
                </c:pt>
                <c:pt idx="417">
                  <c:v>2085</c:v>
                </c:pt>
                <c:pt idx="418">
                  <c:v>2090</c:v>
                </c:pt>
                <c:pt idx="419">
                  <c:v>2095</c:v>
                </c:pt>
                <c:pt idx="420">
                  <c:v>2100</c:v>
                </c:pt>
                <c:pt idx="421">
                  <c:v>2105</c:v>
                </c:pt>
                <c:pt idx="422">
                  <c:v>2110</c:v>
                </c:pt>
                <c:pt idx="423">
                  <c:v>2115</c:v>
                </c:pt>
                <c:pt idx="424">
                  <c:v>2120</c:v>
                </c:pt>
                <c:pt idx="425">
                  <c:v>2125</c:v>
                </c:pt>
                <c:pt idx="426">
                  <c:v>2130</c:v>
                </c:pt>
                <c:pt idx="427">
                  <c:v>2135</c:v>
                </c:pt>
                <c:pt idx="428">
                  <c:v>2140</c:v>
                </c:pt>
                <c:pt idx="429">
                  <c:v>2145</c:v>
                </c:pt>
                <c:pt idx="430">
                  <c:v>2150</c:v>
                </c:pt>
                <c:pt idx="431">
                  <c:v>2155</c:v>
                </c:pt>
                <c:pt idx="432">
                  <c:v>2160</c:v>
                </c:pt>
                <c:pt idx="433">
                  <c:v>2165</c:v>
                </c:pt>
                <c:pt idx="434">
                  <c:v>2170</c:v>
                </c:pt>
                <c:pt idx="435">
                  <c:v>2175</c:v>
                </c:pt>
                <c:pt idx="436">
                  <c:v>2180</c:v>
                </c:pt>
                <c:pt idx="437">
                  <c:v>2185</c:v>
                </c:pt>
                <c:pt idx="438">
                  <c:v>2190</c:v>
                </c:pt>
                <c:pt idx="439">
                  <c:v>2195</c:v>
                </c:pt>
                <c:pt idx="440">
                  <c:v>2200</c:v>
                </c:pt>
                <c:pt idx="441">
                  <c:v>2205</c:v>
                </c:pt>
                <c:pt idx="442">
                  <c:v>2210</c:v>
                </c:pt>
                <c:pt idx="443">
                  <c:v>2215</c:v>
                </c:pt>
                <c:pt idx="444">
                  <c:v>2220</c:v>
                </c:pt>
                <c:pt idx="445">
                  <c:v>2225</c:v>
                </c:pt>
                <c:pt idx="446">
                  <c:v>2230</c:v>
                </c:pt>
                <c:pt idx="447">
                  <c:v>2235</c:v>
                </c:pt>
                <c:pt idx="448">
                  <c:v>2240</c:v>
                </c:pt>
                <c:pt idx="449">
                  <c:v>2245</c:v>
                </c:pt>
                <c:pt idx="450">
                  <c:v>2250</c:v>
                </c:pt>
                <c:pt idx="451">
                  <c:v>2255</c:v>
                </c:pt>
                <c:pt idx="452">
                  <c:v>2260</c:v>
                </c:pt>
                <c:pt idx="453">
                  <c:v>2265</c:v>
                </c:pt>
                <c:pt idx="454">
                  <c:v>2270</c:v>
                </c:pt>
                <c:pt idx="455">
                  <c:v>2275</c:v>
                </c:pt>
                <c:pt idx="456">
                  <c:v>2280</c:v>
                </c:pt>
                <c:pt idx="457">
                  <c:v>2285</c:v>
                </c:pt>
                <c:pt idx="458">
                  <c:v>2290</c:v>
                </c:pt>
                <c:pt idx="459">
                  <c:v>2295</c:v>
                </c:pt>
                <c:pt idx="460">
                  <c:v>2300</c:v>
                </c:pt>
                <c:pt idx="461">
                  <c:v>2305</c:v>
                </c:pt>
                <c:pt idx="462">
                  <c:v>2310</c:v>
                </c:pt>
                <c:pt idx="463">
                  <c:v>2315</c:v>
                </c:pt>
                <c:pt idx="464">
                  <c:v>2320</c:v>
                </c:pt>
                <c:pt idx="465">
                  <c:v>2325</c:v>
                </c:pt>
                <c:pt idx="466">
                  <c:v>2330</c:v>
                </c:pt>
                <c:pt idx="467">
                  <c:v>2335</c:v>
                </c:pt>
                <c:pt idx="468">
                  <c:v>2340</c:v>
                </c:pt>
                <c:pt idx="469">
                  <c:v>2345</c:v>
                </c:pt>
                <c:pt idx="470">
                  <c:v>2350</c:v>
                </c:pt>
                <c:pt idx="471">
                  <c:v>2355</c:v>
                </c:pt>
                <c:pt idx="472">
                  <c:v>2360</c:v>
                </c:pt>
                <c:pt idx="473">
                  <c:v>2365</c:v>
                </c:pt>
                <c:pt idx="474">
                  <c:v>2370</c:v>
                </c:pt>
                <c:pt idx="475">
                  <c:v>2375</c:v>
                </c:pt>
                <c:pt idx="476">
                  <c:v>2380</c:v>
                </c:pt>
                <c:pt idx="477">
                  <c:v>2385</c:v>
                </c:pt>
                <c:pt idx="478">
                  <c:v>2390</c:v>
                </c:pt>
                <c:pt idx="479">
                  <c:v>2395</c:v>
                </c:pt>
                <c:pt idx="480">
                  <c:v>2400</c:v>
                </c:pt>
                <c:pt idx="481">
                  <c:v>2405</c:v>
                </c:pt>
                <c:pt idx="482">
                  <c:v>2410</c:v>
                </c:pt>
                <c:pt idx="483">
                  <c:v>2415</c:v>
                </c:pt>
                <c:pt idx="484">
                  <c:v>2420</c:v>
                </c:pt>
                <c:pt idx="485">
                  <c:v>2425</c:v>
                </c:pt>
                <c:pt idx="486">
                  <c:v>2430</c:v>
                </c:pt>
                <c:pt idx="487">
                  <c:v>2435</c:v>
                </c:pt>
                <c:pt idx="488">
                  <c:v>2440</c:v>
                </c:pt>
                <c:pt idx="489">
                  <c:v>2445</c:v>
                </c:pt>
                <c:pt idx="490">
                  <c:v>2450</c:v>
                </c:pt>
                <c:pt idx="491">
                  <c:v>2455</c:v>
                </c:pt>
                <c:pt idx="492">
                  <c:v>2460</c:v>
                </c:pt>
                <c:pt idx="493">
                  <c:v>2465</c:v>
                </c:pt>
                <c:pt idx="494">
                  <c:v>2470</c:v>
                </c:pt>
                <c:pt idx="495">
                  <c:v>2475</c:v>
                </c:pt>
                <c:pt idx="496">
                  <c:v>2480</c:v>
                </c:pt>
                <c:pt idx="497">
                  <c:v>2485</c:v>
                </c:pt>
                <c:pt idx="498">
                  <c:v>2490</c:v>
                </c:pt>
                <c:pt idx="499">
                  <c:v>2495</c:v>
                </c:pt>
                <c:pt idx="500">
                  <c:v>2500</c:v>
                </c:pt>
                <c:pt idx="501">
                  <c:v>2505</c:v>
                </c:pt>
                <c:pt idx="502">
                  <c:v>2510</c:v>
                </c:pt>
                <c:pt idx="503">
                  <c:v>2515</c:v>
                </c:pt>
                <c:pt idx="504">
                  <c:v>2520</c:v>
                </c:pt>
                <c:pt idx="505">
                  <c:v>2525</c:v>
                </c:pt>
                <c:pt idx="506">
                  <c:v>2530</c:v>
                </c:pt>
                <c:pt idx="507">
                  <c:v>2535</c:v>
                </c:pt>
                <c:pt idx="508">
                  <c:v>2540</c:v>
                </c:pt>
                <c:pt idx="509">
                  <c:v>2545</c:v>
                </c:pt>
                <c:pt idx="510">
                  <c:v>2550</c:v>
                </c:pt>
                <c:pt idx="511">
                  <c:v>2555</c:v>
                </c:pt>
                <c:pt idx="512">
                  <c:v>2560</c:v>
                </c:pt>
                <c:pt idx="513">
                  <c:v>2565</c:v>
                </c:pt>
                <c:pt idx="514">
                  <c:v>2570</c:v>
                </c:pt>
                <c:pt idx="515">
                  <c:v>2575</c:v>
                </c:pt>
                <c:pt idx="516">
                  <c:v>2580</c:v>
                </c:pt>
                <c:pt idx="517">
                  <c:v>2585</c:v>
                </c:pt>
                <c:pt idx="518">
                  <c:v>2590</c:v>
                </c:pt>
                <c:pt idx="519">
                  <c:v>2595</c:v>
                </c:pt>
                <c:pt idx="520">
                  <c:v>2600</c:v>
                </c:pt>
                <c:pt idx="521">
                  <c:v>2605</c:v>
                </c:pt>
                <c:pt idx="522">
                  <c:v>2610</c:v>
                </c:pt>
                <c:pt idx="523">
                  <c:v>2615</c:v>
                </c:pt>
                <c:pt idx="524">
                  <c:v>2620</c:v>
                </c:pt>
                <c:pt idx="525">
                  <c:v>2625</c:v>
                </c:pt>
                <c:pt idx="526">
                  <c:v>2630</c:v>
                </c:pt>
                <c:pt idx="527">
                  <c:v>2635</c:v>
                </c:pt>
                <c:pt idx="528">
                  <c:v>2640</c:v>
                </c:pt>
                <c:pt idx="529">
                  <c:v>2645</c:v>
                </c:pt>
                <c:pt idx="530">
                  <c:v>2650</c:v>
                </c:pt>
                <c:pt idx="531">
                  <c:v>2655</c:v>
                </c:pt>
                <c:pt idx="532">
                  <c:v>2660</c:v>
                </c:pt>
                <c:pt idx="533">
                  <c:v>2665</c:v>
                </c:pt>
                <c:pt idx="534">
                  <c:v>2670</c:v>
                </c:pt>
                <c:pt idx="535">
                  <c:v>2675</c:v>
                </c:pt>
                <c:pt idx="536">
                  <c:v>2680</c:v>
                </c:pt>
                <c:pt idx="537">
                  <c:v>2685</c:v>
                </c:pt>
                <c:pt idx="538">
                  <c:v>2690</c:v>
                </c:pt>
                <c:pt idx="539">
                  <c:v>2695</c:v>
                </c:pt>
                <c:pt idx="540">
                  <c:v>2700</c:v>
                </c:pt>
                <c:pt idx="541">
                  <c:v>2705</c:v>
                </c:pt>
                <c:pt idx="542">
                  <c:v>2710</c:v>
                </c:pt>
                <c:pt idx="543">
                  <c:v>2715</c:v>
                </c:pt>
                <c:pt idx="544">
                  <c:v>2720</c:v>
                </c:pt>
                <c:pt idx="545">
                  <c:v>2725</c:v>
                </c:pt>
                <c:pt idx="546">
                  <c:v>2730</c:v>
                </c:pt>
                <c:pt idx="547">
                  <c:v>2735</c:v>
                </c:pt>
                <c:pt idx="548">
                  <c:v>2740</c:v>
                </c:pt>
                <c:pt idx="549">
                  <c:v>2745</c:v>
                </c:pt>
                <c:pt idx="550">
                  <c:v>2750</c:v>
                </c:pt>
                <c:pt idx="551">
                  <c:v>2755</c:v>
                </c:pt>
                <c:pt idx="552">
                  <c:v>2760</c:v>
                </c:pt>
                <c:pt idx="553">
                  <c:v>2765</c:v>
                </c:pt>
                <c:pt idx="554">
                  <c:v>2770</c:v>
                </c:pt>
                <c:pt idx="555">
                  <c:v>2775</c:v>
                </c:pt>
                <c:pt idx="556">
                  <c:v>2780</c:v>
                </c:pt>
                <c:pt idx="557">
                  <c:v>2785</c:v>
                </c:pt>
                <c:pt idx="558">
                  <c:v>2790</c:v>
                </c:pt>
                <c:pt idx="559">
                  <c:v>2795</c:v>
                </c:pt>
                <c:pt idx="560">
                  <c:v>2800</c:v>
                </c:pt>
                <c:pt idx="561">
                  <c:v>2805</c:v>
                </c:pt>
                <c:pt idx="562">
                  <c:v>2810</c:v>
                </c:pt>
                <c:pt idx="563">
                  <c:v>2815</c:v>
                </c:pt>
                <c:pt idx="564">
                  <c:v>2820</c:v>
                </c:pt>
                <c:pt idx="565">
                  <c:v>2825</c:v>
                </c:pt>
                <c:pt idx="566">
                  <c:v>2830</c:v>
                </c:pt>
                <c:pt idx="567">
                  <c:v>2835</c:v>
                </c:pt>
                <c:pt idx="568">
                  <c:v>2840</c:v>
                </c:pt>
                <c:pt idx="569">
                  <c:v>2845</c:v>
                </c:pt>
                <c:pt idx="570">
                  <c:v>2850</c:v>
                </c:pt>
                <c:pt idx="571">
                  <c:v>2855</c:v>
                </c:pt>
                <c:pt idx="572">
                  <c:v>2860</c:v>
                </c:pt>
                <c:pt idx="573">
                  <c:v>2865</c:v>
                </c:pt>
                <c:pt idx="574">
                  <c:v>2870</c:v>
                </c:pt>
                <c:pt idx="575">
                  <c:v>2875</c:v>
                </c:pt>
                <c:pt idx="576">
                  <c:v>2880</c:v>
                </c:pt>
                <c:pt idx="577">
                  <c:v>2885</c:v>
                </c:pt>
                <c:pt idx="578">
                  <c:v>2890</c:v>
                </c:pt>
                <c:pt idx="579">
                  <c:v>2895</c:v>
                </c:pt>
                <c:pt idx="580">
                  <c:v>2900</c:v>
                </c:pt>
                <c:pt idx="581">
                  <c:v>2905</c:v>
                </c:pt>
                <c:pt idx="582">
                  <c:v>2910</c:v>
                </c:pt>
                <c:pt idx="583">
                  <c:v>2915</c:v>
                </c:pt>
                <c:pt idx="584">
                  <c:v>2920</c:v>
                </c:pt>
                <c:pt idx="585">
                  <c:v>2925</c:v>
                </c:pt>
                <c:pt idx="586">
                  <c:v>2930</c:v>
                </c:pt>
                <c:pt idx="587">
                  <c:v>2935</c:v>
                </c:pt>
                <c:pt idx="588">
                  <c:v>2940</c:v>
                </c:pt>
                <c:pt idx="589">
                  <c:v>2945</c:v>
                </c:pt>
                <c:pt idx="590">
                  <c:v>2950</c:v>
                </c:pt>
                <c:pt idx="591">
                  <c:v>2955</c:v>
                </c:pt>
                <c:pt idx="592">
                  <c:v>2960</c:v>
                </c:pt>
                <c:pt idx="593">
                  <c:v>2965</c:v>
                </c:pt>
                <c:pt idx="594">
                  <c:v>2970</c:v>
                </c:pt>
                <c:pt idx="595">
                  <c:v>2975</c:v>
                </c:pt>
                <c:pt idx="596">
                  <c:v>2980</c:v>
                </c:pt>
                <c:pt idx="597">
                  <c:v>2985</c:v>
                </c:pt>
                <c:pt idx="598">
                  <c:v>2990</c:v>
                </c:pt>
                <c:pt idx="599">
                  <c:v>2995</c:v>
                </c:pt>
                <c:pt idx="600">
                  <c:v>3000</c:v>
                </c:pt>
                <c:pt idx="601">
                  <c:v>3005</c:v>
                </c:pt>
                <c:pt idx="602">
                  <c:v>3010</c:v>
                </c:pt>
                <c:pt idx="603">
                  <c:v>3015</c:v>
                </c:pt>
                <c:pt idx="604">
                  <c:v>3020</c:v>
                </c:pt>
                <c:pt idx="605">
                  <c:v>3025</c:v>
                </c:pt>
                <c:pt idx="606">
                  <c:v>3030</c:v>
                </c:pt>
                <c:pt idx="607">
                  <c:v>3035</c:v>
                </c:pt>
                <c:pt idx="608">
                  <c:v>3040</c:v>
                </c:pt>
                <c:pt idx="609">
                  <c:v>3045</c:v>
                </c:pt>
                <c:pt idx="610">
                  <c:v>3050</c:v>
                </c:pt>
                <c:pt idx="611">
                  <c:v>3055</c:v>
                </c:pt>
                <c:pt idx="612">
                  <c:v>3060</c:v>
                </c:pt>
                <c:pt idx="613">
                  <c:v>3065</c:v>
                </c:pt>
                <c:pt idx="614">
                  <c:v>3070</c:v>
                </c:pt>
                <c:pt idx="615">
                  <c:v>3075</c:v>
                </c:pt>
                <c:pt idx="616">
                  <c:v>3080</c:v>
                </c:pt>
                <c:pt idx="617">
                  <c:v>3085</c:v>
                </c:pt>
                <c:pt idx="618">
                  <c:v>3090</c:v>
                </c:pt>
                <c:pt idx="619">
                  <c:v>3095</c:v>
                </c:pt>
                <c:pt idx="620">
                  <c:v>3100</c:v>
                </c:pt>
                <c:pt idx="621">
                  <c:v>3105</c:v>
                </c:pt>
                <c:pt idx="622">
                  <c:v>3110</c:v>
                </c:pt>
                <c:pt idx="623">
                  <c:v>3115</c:v>
                </c:pt>
                <c:pt idx="624">
                  <c:v>3120</c:v>
                </c:pt>
                <c:pt idx="625">
                  <c:v>3125</c:v>
                </c:pt>
                <c:pt idx="626">
                  <c:v>3130</c:v>
                </c:pt>
                <c:pt idx="627">
                  <c:v>3135</c:v>
                </c:pt>
                <c:pt idx="628">
                  <c:v>3140</c:v>
                </c:pt>
                <c:pt idx="629">
                  <c:v>3145</c:v>
                </c:pt>
                <c:pt idx="630">
                  <c:v>3150</c:v>
                </c:pt>
                <c:pt idx="631">
                  <c:v>3155</c:v>
                </c:pt>
                <c:pt idx="632">
                  <c:v>3160</c:v>
                </c:pt>
                <c:pt idx="633">
                  <c:v>3165</c:v>
                </c:pt>
                <c:pt idx="634">
                  <c:v>3170</c:v>
                </c:pt>
                <c:pt idx="635">
                  <c:v>3175</c:v>
                </c:pt>
                <c:pt idx="636">
                  <c:v>3180</c:v>
                </c:pt>
                <c:pt idx="637">
                  <c:v>3185</c:v>
                </c:pt>
                <c:pt idx="638">
                  <c:v>3190</c:v>
                </c:pt>
                <c:pt idx="639">
                  <c:v>3195</c:v>
                </c:pt>
                <c:pt idx="640">
                  <c:v>3200</c:v>
                </c:pt>
                <c:pt idx="641">
                  <c:v>3205</c:v>
                </c:pt>
                <c:pt idx="642">
                  <c:v>3210</c:v>
                </c:pt>
                <c:pt idx="643">
                  <c:v>3215</c:v>
                </c:pt>
                <c:pt idx="644">
                  <c:v>3220</c:v>
                </c:pt>
                <c:pt idx="645">
                  <c:v>3225</c:v>
                </c:pt>
                <c:pt idx="646">
                  <c:v>3230</c:v>
                </c:pt>
                <c:pt idx="647">
                  <c:v>3235</c:v>
                </c:pt>
                <c:pt idx="648">
                  <c:v>3240</c:v>
                </c:pt>
                <c:pt idx="649">
                  <c:v>3245</c:v>
                </c:pt>
                <c:pt idx="650">
                  <c:v>3250</c:v>
                </c:pt>
                <c:pt idx="651">
                  <c:v>3255</c:v>
                </c:pt>
                <c:pt idx="652">
                  <c:v>3260</c:v>
                </c:pt>
                <c:pt idx="653">
                  <c:v>3265</c:v>
                </c:pt>
                <c:pt idx="654">
                  <c:v>3270</c:v>
                </c:pt>
                <c:pt idx="655">
                  <c:v>3275</c:v>
                </c:pt>
                <c:pt idx="656">
                  <c:v>3280</c:v>
                </c:pt>
                <c:pt idx="657">
                  <c:v>3285</c:v>
                </c:pt>
                <c:pt idx="658">
                  <c:v>3290</c:v>
                </c:pt>
                <c:pt idx="659">
                  <c:v>3295</c:v>
                </c:pt>
                <c:pt idx="660">
                  <c:v>3300</c:v>
                </c:pt>
                <c:pt idx="661">
                  <c:v>3305</c:v>
                </c:pt>
                <c:pt idx="662">
                  <c:v>3310</c:v>
                </c:pt>
                <c:pt idx="663">
                  <c:v>3315</c:v>
                </c:pt>
                <c:pt idx="664">
                  <c:v>3320</c:v>
                </c:pt>
                <c:pt idx="665">
                  <c:v>3325</c:v>
                </c:pt>
                <c:pt idx="666">
                  <c:v>3330</c:v>
                </c:pt>
                <c:pt idx="667">
                  <c:v>3335</c:v>
                </c:pt>
                <c:pt idx="668">
                  <c:v>3340</c:v>
                </c:pt>
                <c:pt idx="669">
                  <c:v>3345</c:v>
                </c:pt>
                <c:pt idx="670">
                  <c:v>3350</c:v>
                </c:pt>
                <c:pt idx="671">
                  <c:v>3355</c:v>
                </c:pt>
                <c:pt idx="672">
                  <c:v>3360</c:v>
                </c:pt>
                <c:pt idx="673">
                  <c:v>3365</c:v>
                </c:pt>
                <c:pt idx="674">
                  <c:v>3370</c:v>
                </c:pt>
                <c:pt idx="675">
                  <c:v>3375</c:v>
                </c:pt>
                <c:pt idx="676">
                  <c:v>3380</c:v>
                </c:pt>
                <c:pt idx="677">
                  <c:v>3385</c:v>
                </c:pt>
                <c:pt idx="678">
                  <c:v>3390</c:v>
                </c:pt>
                <c:pt idx="679">
                  <c:v>3395</c:v>
                </c:pt>
                <c:pt idx="680">
                  <c:v>3400</c:v>
                </c:pt>
                <c:pt idx="681">
                  <c:v>3405</c:v>
                </c:pt>
                <c:pt idx="682">
                  <c:v>3410</c:v>
                </c:pt>
                <c:pt idx="683">
                  <c:v>3415</c:v>
                </c:pt>
                <c:pt idx="684">
                  <c:v>3420</c:v>
                </c:pt>
                <c:pt idx="685">
                  <c:v>3425</c:v>
                </c:pt>
                <c:pt idx="686">
                  <c:v>3430</c:v>
                </c:pt>
                <c:pt idx="687">
                  <c:v>3435</c:v>
                </c:pt>
                <c:pt idx="688">
                  <c:v>3440</c:v>
                </c:pt>
                <c:pt idx="689">
                  <c:v>3445</c:v>
                </c:pt>
                <c:pt idx="690">
                  <c:v>3450</c:v>
                </c:pt>
                <c:pt idx="691">
                  <c:v>3455</c:v>
                </c:pt>
                <c:pt idx="692">
                  <c:v>3460</c:v>
                </c:pt>
                <c:pt idx="693">
                  <c:v>3465</c:v>
                </c:pt>
                <c:pt idx="694">
                  <c:v>3470</c:v>
                </c:pt>
                <c:pt idx="695">
                  <c:v>3475</c:v>
                </c:pt>
                <c:pt idx="696">
                  <c:v>3480</c:v>
                </c:pt>
                <c:pt idx="697">
                  <c:v>3485</c:v>
                </c:pt>
                <c:pt idx="698">
                  <c:v>3490</c:v>
                </c:pt>
                <c:pt idx="699">
                  <c:v>3495</c:v>
                </c:pt>
                <c:pt idx="700">
                  <c:v>3500</c:v>
                </c:pt>
                <c:pt idx="701">
                  <c:v>3505</c:v>
                </c:pt>
                <c:pt idx="702">
                  <c:v>3510</c:v>
                </c:pt>
                <c:pt idx="703">
                  <c:v>3515</c:v>
                </c:pt>
                <c:pt idx="704">
                  <c:v>3520</c:v>
                </c:pt>
                <c:pt idx="705">
                  <c:v>3525</c:v>
                </c:pt>
                <c:pt idx="706">
                  <c:v>3530</c:v>
                </c:pt>
                <c:pt idx="707">
                  <c:v>3535</c:v>
                </c:pt>
                <c:pt idx="708">
                  <c:v>3540</c:v>
                </c:pt>
                <c:pt idx="709">
                  <c:v>3545</c:v>
                </c:pt>
                <c:pt idx="710">
                  <c:v>3550</c:v>
                </c:pt>
                <c:pt idx="711">
                  <c:v>3555</c:v>
                </c:pt>
                <c:pt idx="712">
                  <c:v>3560</c:v>
                </c:pt>
                <c:pt idx="713">
                  <c:v>3565</c:v>
                </c:pt>
                <c:pt idx="714">
                  <c:v>3570</c:v>
                </c:pt>
                <c:pt idx="715">
                  <c:v>3575</c:v>
                </c:pt>
                <c:pt idx="716">
                  <c:v>3580</c:v>
                </c:pt>
                <c:pt idx="717">
                  <c:v>3585</c:v>
                </c:pt>
                <c:pt idx="718">
                  <c:v>3590</c:v>
                </c:pt>
                <c:pt idx="719">
                  <c:v>3595</c:v>
                </c:pt>
                <c:pt idx="720">
                  <c:v>3600</c:v>
                </c:pt>
                <c:pt idx="721">
                  <c:v>3605</c:v>
                </c:pt>
                <c:pt idx="722">
                  <c:v>3610</c:v>
                </c:pt>
                <c:pt idx="723">
                  <c:v>3615</c:v>
                </c:pt>
                <c:pt idx="724">
                  <c:v>3620</c:v>
                </c:pt>
                <c:pt idx="725">
                  <c:v>3625</c:v>
                </c:pt>
                <c:pt idx="726">
                  <c:v>3630</c:v>
                </c:pt>
                <c:pt idx="727">
                  <c:v>3635</c:v>
                </c:pt>
                <c:pt idx="728">
                  <c:v>3640</c:v>
                </c:pt>
                <c:pt idx="729">
                  <c:v>3645</c:v>
                </c:pt>
                <c:pt idx="730">
                  <c:v>3650</c:v>
                </c:pt>
                <c:pt idx="731">
                  <c:v>3655</c:v>
                </c:pt>
                <c:pt idx="732">
                  <c:v>3660</c:v>
                </c:pt>
                <c:pt idx="733">
                  <c:v>3665</c:v>
                </c:pt>
                <c:pt idx="734">
                  <c:v>3670</c:v>
                </c:pt>
                <c:pt idx="735">
                  <c:v>3675</c:v>
                </c:pt>
                <c:pt idx="736">
                  <c:v>3680</c:v>
                </c:pt>
                <c:pt idx="737">
                  <c:v>3685</c:v>
                </c:pt>
                <c:pt idx="738">
                  <c:v>3690</c:v>
                </c:pt>
                <c:pt idx="739">
                  <c:v>3695</c:v>
                </c:pt>
                <c:pt idx="740">
                  <c:v>3700</c:v>
                </c:pt>
                <c:pt idx="741">
                  <c:v>3705</c:v>
                </c:pt>
                <c:pt idx="742">
                  <c:v>3710</c:v>
                </c:pt>
                <c:pt idx="743">
                  <c:v>3715</c:v>
                </c:pt>
                <c:pt idx="744">
                  <c:v>3720</c:v>
                </c:pt>
                <c:pt idx="745">
                  <c:v>3725</c:v>
                </c:pt>
                <c:pt idx="746">
                  <c:v>3730</c:v>
                </c:pt>
                <c:pt idx="747">
                  <c:v>3735</c:v>
                </c:pt>
                <c:pt idx="748">
                  <c:v>3740</c:v>
                </c:pt>
                <c:pt idx="749">
                  <c:v>3745</c:v>
                </c:pt>
                <c:pt idx="750">
                  <c:v>3750</c:v>
                </c:pt>
                <c:pt idx="751">
                  <c:v>3755</c:v>
                </c:pt>
                <c:pt idx="752">
                  <c:v>3760</c:v>
                </c:pt>
                <c:pt idx="753">
                  <c:v>3765</c:v>
                </c:pt>
                <c:pt idx="754">
                  <c:v>3770</c:v>
                </c:pt>
                <c:pt idx="755">
                  <c:v>3775</c:v>
                </c:pt>
                <c:pt idx="756">
                  <c:v>3780</c:v>
                </c:pt>
                <c:pt idx="757">
                  <c:v>3785</c:v>
                </c:pt>
                <c:pt idx="758">
                  <c:v>3790</c:v>
                </c:pt>
                <c:pt idx="759">
                  <c:v>3795</c:v>
                </c:pt>
                <c:pt idx="760">
                  <c:v>3800</c:v>
                </c:pt>
                <c:pt idx="761">
                  <c:v>3805</c:v>
                </c:pt>
                <c:pt idx="762">
                  <c:v>3810</c:v>
                </c:pt>
                <c:pt idx="763">
                  <c:v>3815</c:v>
                </c:pt>
                <c:pt idx="764">
                  <c:v>3820</c:v>
                </c:pt>
                <c:pt idx="765">
                  <c:v>3825</c:v>
                </c:pt>
                <c:pt idx="766">
                  <c:v>3830</c:v>
                </c:pt>
                <c:pt idx="767">
                  <c:v>3835</c:v>
                </c:pt>
                <c:pt idx="768">
                  <c:v>3840</c:v>
                </c:pt>
                <c:pt idx="769">
                  <c:v>3845</c:v>
                </c:pt>
                <c:pt idx="770">
                  <c:v>3850</c:v>
                </c:pt>
                <c:pt idx="771">
                  <c:v>3855</c:v>
                </c:pt>
                <c:pt idx="772">
                  <c:v>3860</c:v>
                </c:pt>
                <c:pt idx="773">
                  <c:v>3865</c:v>
                </c:pt>
                <c:pt idx="774">
                  <c:v>3870</c:v>
                </c:pt>
                <c:pt idx="775">
                  <c:v>3875</c:v>
                </c:pt>
                <c:pt idx="776">
                  <c:v>3880</c:v>
                </c:pt>
                <c:pt idx="777">
                  <c:v>3885</c:v>
                </c:pt>
                <c:pt idx="778">
                  <c:v>3890</c:v>
                </c:pt>
                <c:pt idx="779">
                  <c:v>3895</c:v>
                </c:pt>
                <c:pt idx="780">
                  <c:v>3900</c:v>
                </c:pt>
                <c:pt idx="781">
                  <c:v>3905</c:v>
                </c:pt>
                <c:pt idx="782">
                  <c:v>3910</c:v>
                </c:pt>
                <c:pt idx="783">
                  <c:v>3915</c:v>
                </c:pt>
                <c:pt idx="784">
                  <c:v>3920</c:v>
                </c:pt>
                <c:pt idx="785">
                  <c:v>3925</c:v>
                </c:pt>
                <c:pt idx="786">
                  <c:v>3930</c:v>
                </c:pt>
                <c:pt idx="787">
                  <c:v>3935</c:v>
                </c:pt>
                <c:pt idx="788">
                  <c:v>3940</c:v>
                </c:pt>
                <c:pt idx="789">
                  <c:v>3945</c:v>
                </c:pt>
                <c:pt idx="790">
                  <c:v>3950</c:v>
                </c:pt>
                <c:pt idx="791">
                  <c:v>3955</c:v>
                </c:pt>
                <c:pt idx="792">
                  <c:v>3960</c:v>
                </c:pt>
                <c:pt idx="793">
                  <c:v>3965</c:v>
                </c:pt>
                <c:pt idx="794">
                  <c:v>3970</c:v>
                </c:pt>
                <c:pt idx="795">
                  <c:v>3975</c:v>
                </c:pt>
                <c:pt idx="796">
                  <c:v>3980</c:v>
                </c:pt>
                <c:pt idx="797">
                  <c:v>3985</c:v>
                </c:pt>
                <c:pt idx="798">
                  <c:v>3990</c:v>
                </c:pt>
                <c:pt idx="799">
                  <c:v>3995</c:v>
                </c:pt>
                <c:pt idx="800">
                  <c:v>4000</c:v>
                </c:pt>
                <c:pt idx="801">
                  <c:v>4005</c:v>
                </c:pt>
                <c:pt idx="802">
                  <c:v>4010</c:v>
                </c:pt>
                <c:pt idx="803">
                  <c:v>4015</c:v>
                </c:pt>
                <c:pt idx="804">
                  <c:v>4020</c:v>
                </c:pt>
                <c:pt idx="805">
                  <c:v>4025</c:v>
                </c:pt>
                <c:pt idx="806">
                  <c:v>4030</c:v>
                </c:pt>
                <c:pt idx="807">
                  <c:v>4035</c:v>
                </c:pt>
                <c:pt idx="808">
                  <c:v>4040</c:v>
                </c:pt>
                <c:pt idx="809">
                  <c:v>4045</c:v>
                </c:pt>
                <c:pt idx="810">
                  <c:v>4050</c:v>
                </c:pt>
                <c:pt idx="811">
                  <c:v>4055</c:v>
                </c:pt>
                <c:pt idx="812">
                  <c:v>4060</c:v>
                </c:pt>
                <c:pt idx="813">
                  <c:v>4065</c:v>
                </c:pt>
                <c:pt idx="814">
                  <c:v>4070</c:v>
                </c:pt>
                <c:pt idx="815">
                  <c:v>4075</c:v>
                </c:pt>
                <c:pt idx="816">
                  <c:v>4080</c:v>
                </c:pt>
                <c:pt idx="817">
                  <c:v>4085</c:v>
                </c:pt>
                <c:pt idx="818">
                  <c:v>4090</c:v>
                </c:pt>
                <c:pt idx="819">
                  <c:v>4095</c:v>
                </c:pt>
                <c:pt idx="820">
                  <c:v>4100</c:v>
                </c:pt>
                <c:pt idx="821">
                  <c:v>4105</c:v>
                </c:pt>
                <c:pt idx="822">
                  <c:v>4110</c:v>
                </c:pt>
                <c:pt idx="823">
                  <c:v>4115</c:v>
                </c:pt>
                <c:pt idx="824">
                  <c:v>4120</c:v>
                </c:pt>
                <c:pt idx="825">
                  <c:v>4125</c:v>
                </c:pt>
                <c:pt idx="826">
                  <c:v>4130</c:v>
                </c:pt>
                <c:pt idx="827">
                  <c:v>4135</c:v>
                </c:pt>
                <c:pt idx="828">
                  <c:v>4140</c:v>
                </c:pt>
                <c:pt idx="829">
                  <c:v>4145</c:v>
                </c:pt>
                <c:pt idx="830">
                  <c:v>4150</c:v>
                </c:pt>
                <c:pt idx="831">
                  <c:v>4155</c:v>
                </c:pt>
                <c:pt idx="832">
                  <c:v>4160</c:v>
                </c:pt>
                <c:pt idx="833">
                  <c:v>4165</c:v>
                </c:pt>
                <c:pt idx="834">
                  <c:v>4170</c:v>
                </c:pt>
                <c:pt idx="835">
                  <c:v>4175</c:v>
                </c:pt>
                <c:pt idx="836">
                  <c:v>4180</c:v>
                </c:pt>
                <c:pt idx="837">
                  <c:v>4185</c:v>
                </c:pt>
                <c:pt idx="838">
                  <c:v>4190</c:v>
                </c:pt>
                <c:pt idx="839">
                  <c:v>4195</c:v>
                </c:pt>
                <c:pt idx="840">
                  <c:v>4200</c:v>
                </c:pt>
                <c:pt idx="841">
                  <c:v>4205</c:v>
                </c:pt>
                <c:pt idx="842">
                  <c:v>4210</c:v>
                </c:pt>
                <c:pt idx="843">
                  <c:v>4215</c:v>
                </c:pt>
                <c:pt idx="844">
                  <c:v>4220</c:v>
                </c:pt>
                <c:pt idx="845">
                  <c:v>4225</c:v>
                </c:pt>
                <c:pt idx="846">
                  <c:v>4230</c:v>
                </c:pt>
                <c:pt idx="847">
                  <c:v>4235</c:v>
                </c:pt>
                <c:pt idx="848">
                  <c:v>4240</c:v>
                </c:pt>
                <c:pt idx="849">
                  <c:v>4245</c:v>
                </c:pt>
                <c:pt idx="850">
                  <c:v>4250</c:v>
                </c:pt>
                <c:pt idx="851">
                  <c:v>4255</c:v>
                </c:pt>
                <c:pt idx="852">
                  <c:v>4260</c:v>
                </c:pt>
                <c:pt idx="853">
                  <c:v>4265</c:v>
                </c:pt>
                <c:pt idx="854">
                  <c:v>4270</c:v>
                </c:pt>
                <c:pt idx="855">
                  <c:v>4275</c:v>
                </c:pt>
                <c:pt idx="856">
                  <c:v>4280</c:v>
                </c:pt>
                <c:pt idx="857">
                  <c:v>4285</c:v>
                </c:pt>
                <c:pt idx="858">
                  <c:v>4290</c:v>
                </c:pt>
                <c:pt idx="859">
                  <c:v>4295</c:v>
                </c:pt>
                <c:pt idx="860">
                  <c:v>4300</c:v>
                </c:pt>
                <c:pt idx="861">
                  <c:v>4305</c:v>
                </c:pt>
                <c:pt idx="862">
                  <c:v>4310</c:v>
                </c:pt>
                <c:pt idx="863">
                  <c:v>4315</c:v>
                </c:pt>
                <c:pt idx="864">
                  <c:v>4320</c:v>
                </c:pt>
                <c:pt idx="865">
                  <c:v>4325</c:v>
                </c:pt>
                <c:pt idx="866">
                  <c:v>4330</c:v>
                </c:pt>
                <c:pt idx="867">
                  <c:v>4335</c:v>
                </c:pt>
                <c:pt idx="868">
                  <c:v>4340</c:v>
                </c:pt>
                <c:pt idx="869">
                  <c:v>4345</c:v>
                </c:pt>
                <c:pt idx="870">
                  <c:v>4350</c:v>
                </c:pt>
                <c:pt idx="871">
                  <c:v>4355</c:v>
                </c:pt>
                <c:pt idx="872">
                  <c:v>4360</c:v>
                </c:pt>
                <c:pt idx="873">
                  <c:v>4365</c:v>
                </c:pt>
                <c:pt idx="874">
                  <c:v>4370</c:v>
                </c:pt>
                <c:pt idx="875">
                  <c:v>4375</c:v>
                </c:pt>
                <c:pt idx="876">
                  <c:v>4380</c:v>
                </c:pt>
                <c:pt idx="877">
                  <c:v>4385</c:v>
                </c:pt>
                <c:pt idx="878">
                  <c:v>4390</c:v>
                </c:pt>
                <c:pt idx="879">
                  <c:v>4395</c:v>
                </c:pt>
                <c:pt idx="880">
                  <c:v>4400</c:v>
                </c:pt>
                <c:pt idx="881">
                  <c:v>4405</c:v>
                </c:pt>
                <c:pt idx="882">
                  <c:v>4410</c:v>
                </c:pt>
                <c:pt idx="883">
                  <c:v>4415</c:v>
                </c:pt>
                <c:pt idx="884">
                  <c:v>4420</c:v>
                </c:pt>
                <c:pt idx="885">
                  <c:v>4425</c:v>
                </c:pt>
                <c:pt idx="886">
                  <c:v>4430</c:v>
                </c:pt>
                <c:pt idx="887">
                  <c:v>4435</c:v>
                </c:pt>
                <c:pt idx="888">
                  <c:v>4440</c:v>
                </c:pt>
                <c:pt idx="889">
                  <c:v>4445</c:v>
                </c:pt>
                <c:pt idx="890">
                  <c:v>4450</c:v>
                </c:pt>
                <c:pt idx="891">
                  <c:v>4455</c:v>
                </c:pt>
                <c:pt idx="892">
                  <c:v>4460</c:v>
                </c:pt>
                <c:pt idx="893">
                  <c:v>4465</c:v>
                </c:pt>
                <c:pt idx="894">
                  <c:v>4470</c:v>
                </c:pt>
                <c:pt idx="895">
                  <c:v>4475</c:v>
                </c:pt>
                <c:pt idx="896">
                  <c:v>4480</c:v>
                </c:pt>
                <c:pt idx="897">
                  <c:v>4485</c:v>
                </c:pt>
                <c:pt idx="898">
                  <c:v>4490</c:v>
                </c:pt>
                <c:pt idx="899">
                  <c:v>4495</c:v>
                </c:pt>
                <c:pt idx="900">
                  <c:v>4500</c:v>
                </c:pt>
                <c:pt idx="901">
                  <c:v>4505</c:v>
                </c:pt>
                <c:pt idx="902">
                  <c:v>4510</c:v>
                </c:pt>
                <c:pt idx="903">
                  <c:v>4515</c:v>
                </c:pt>
                <c:pt idx="904">
                  <c:v>4520</c:v>
                </c:pt>
                <c:pt idx="905">
                  <c:v>4525</c:v>
                </c:pt>
                <c:pt idx="906">
                  <c:v>4530</c:v>
                </c:pt>
                <c:pt idx="907">
                  <c:v>4535</c:v>
                </c:pt>
                <c:pt idx="908">
                  <c:v>4540</c:v>
                </c:pt>
                <c:pt idx="909">
                  <c:v>4545</c:v>
                </c:pt>
                <c:pt idx="910">
                  <c:v>4550</c:v>
                </c:pt>
                <c:pt idx="911">
                  <c:v>4555</c:v>
                </c:pt>
                <c:pt idx="912">
                  <c:v>4560</c:v>
                </c:pt>
                <c:pt idx="913">
                  <c:v>4565</c:v>
                </c:pt>
                <c:pt idx="914">
                  <c:v>4570</c:v>
                </c:pt>
                <c:pt idx="915">
                  <c:v>4575</c:v>
                </c:pt>
                <c:pt idx="916">
                  <c:v>4580</c:v>
                </c:pt>
                <c:pt idx="917">
                  <c:v>4585</c:v>
                </c:pt>
                <c:pt idx="918">
                  <c:v>4590</c:v>
                </c:pt>
                <c:pt idx="919">
                  <c:v>4595</c:v>
                </c:pt>
                <c:pt idx="920">
                  <c:v>4600</c:v>
                </c:pt>
                <c:pt idx="921">
                  <c:v>4605</c:v>
                </c:pt>
                <c:pt idx="922">
                  <c:v>4610</c:v>
                </c:pt>
                <c:pt idx="923">
                  <c:v>4615</c:v>
                </c:pt>
                <c:pt idx="924">
                  <c:v>4620</c:v>
                </c:pt>
                <c:pt idx="925">
                  <c:v>4625</c:v>
                </c:pt>
                <c:pt idx="926">
                  <c:v>4630</c:v>
                </c:pt>
                <c:pt idx="927">
                  <c:v>4635</c:v>
                </c:pt>
                <c:pt idx="928">
                  <c:v>4640</c:v>
                </c:pt>
                <c:pt idx="929">
                  <c:v>4645</c:v>
                </c:pt>
                <c:pt idx="930">
                  <c:v>4650</c:v>
                </c:pt>
                <c:pt idx="931">
                  <c:v>4655</c:v>
                </c:pt>
                <c:pt idx="932">
                  <c:v>4660</c:v>
                </c:pt>
                <c:pt idx="933">
                  <c:v>4665</c:v>
                </c:pt>
                <c:pt idx="934">
                  <c:v>4670</c:v>
                </c:pt>
                <c:pt idx="935">
                  <c:v>4675</c:v>
                </c:pt>
                <c:pt idx="936">
                  <c:v>4680</c:v>
                </c:pt>
                <c:pt idx="937">
                  <c:v>4685</c:v>
                </c:pt>
                <c:pt idx="938">
                  <c:v>4690</c:v>
                </c:pt>
                <c:pt idx="939">
                  <c:v>4695</c:v>
                </c:pt>
                <c:pt idx="940">
                  <c:v>4700</c:v>
                </c:pt>
                <c:pt idx="941">
                  <c:v>4705</c:v>
                </c:pt>
                <c:pt idx="942">
                  <c:v>4710</c:v>
                </c:pt>
                <c:pt idx="943">
                  <c:v>4715</c:v>
                </c:pt>
                <c:pt idx="944">
                  <c:v>4720</c:v>
                </c:pt>
                <c:pt idx="945">
                  <c:v>4725</c:v>
                </c:pt>
                <c:pt idx="946">
                  <c:v>4730</c:v>
                </c:pt>
                <c:pt idx="947">
                  <c:v>4735</c:v>
                </c:pt>
                <c:pt idx="948">
                  <c:v>4740</c:v>
                </c:pt>
                <c:pt idx="949">
                  <c:v>4745</c:v>
                </c:pt>
                <c:pt idx="950">
                  <c:v>4750</c:v>
                </c:pt>
                <c:pt idx="951">
                  <c:v>4755</c:v>
                </c:pt>
                <c:pt idx="952">
                  <c:v>4760</c:v>
                </c:pt>
                <c:pt idx="953">
                  <c:v>4765</c:v>
                </c:pt>
                <c:pt idx="954">
                  <c:v>4770</c:v>
                </c:pt>
                <c:pt idx="955">
                  <c:v>4775</c:v>
                </c:pt>
                <c:pt idx="956">
                  <c:v>4780</c:v>
                </c:pt>
                <c:pt idx="957">
                  <c:v>4785</c:v>
                </c:pt>
                <c:pt idx="958">
                  <c:v>4790</c:v>
                </c:pt>
                <c:pt idx="959">
                  <c:v>4795</c:v>
                </c:pt>
                <c:pt idx="960">
                  <c:v>4800</c:v>
                </c:pt>
                <c:pt idx="961">
                  <c:v>4805</c:v>
                </c:pt>
                <c:pt idx="962">
                  <c:v>4810</c:v>
                </c:pt>
                <c:pt idx="963">
                  <c:v>4815</c:v>
                </c:pt>
                <c:pt idx="964">
                  <c:v>4820</c:v>
                </c:pt>
                <c:pt idx="965">
                  <c:v>4825</c:v>
                </c:pt>
                <c:pt idx="966">
                  <c:v>4830</c:v>
                </c:pt>
                <c:pt idx="967">
                  <c:v>4835</c:v>
                </c:pt>
                <c:pt idx="968">
                  <c:v>4840</c:v>
                </c:pt>
                <c:pt idx="969">
                  <c:v>4845</c:v>
                </c:pt>
                <c:pt idx="970">
                  <c:v>4850</c:v>
                </c:pt>
                <c:pt idx="971">
                  <c:v>4855</c:v>
                </c:pt>
                <c:pt idx="972">
                  <c:v>4860</c:v>
                </c:pt>
                <c:pt idx="973">
                  <c:v>4865</c:v>
                </c:pt>
                <c:pt idx="974">
                  <c:v>4870</c:v>
                </c:pt>
                <c:pt idx="975">
                  <c:v>4875</c:v>
                </c:pt>
                <c:pt idx="976">
                  <c:v>4880</c:v>
                </c:pt>
                <c:pt idx="977">
                  <c:v>4885</c:v>
                </c:pt>
                <c:pt idx="978">
                  <c:v>4890</c:v>
                </c:pt>
                <c:pt idx="979">
                  <c:v>4895</c:v>
                </c:pt>
                <c:pt idx="980">
                  <c:v>4900</c:v>
                </c:pt>
                <c:pt idx="981">
                  <c:v>4905</c:v>
                </c:pt>
                <c:pt idx="982">
                  <c:v>4910</c:v>
                </c:pt>
                <c:pt idx="983">
                  <c:v>4915</c:v>
                </c:pt>
                <c:pt idx="984">
                  <c:v>4920</c:v>
                </c:pt>
                <c:pt idx="985">
                  <c:v>4925</c:v>
                </c:pt>
                <c:pt idx="986">
                  <c:v>4930</c:v>
                </c:pt>
                <c:pt idx="987">
                  <c:v>4935</c:v>
                </c:pt>
                <c:pt idx="988">
                  <c:v>4940</c:v>
                </c:pt>
                <c:pt idx="989">
                  <c:v>4945</c:v>
                </c:pt>
                <c:pt idx="990">
                  <c:v>4950</c:v>
                </c:pt>
                <c:pt idx="991">
                  <c:v>4955</c:v>
                </c:pt>
                <c:pt idx="992">
                  <c:v>4960</c:v>
                </c:pt>
                <c:pt idx="993">
                  <c:v>4965</c:v>
                </c:pt>
                <c:pt idx="994">
                  <c:v>4970</c:v>
                </c:pt>
                <c:pt idx="995">
                  <c:v>4975</c:v>
                </c:pt>
                <c:pt idx="996">
                  <c:v>4980</c:v>
                </c:pt>
                <c:pt idx="997">
                  <c:v>4985</c:v>
                </c:pt>
                <c:pt idx="998">
                  <c:v>4990</c:v>
                </c:pt>
                <c:pt idx="999">
                  <c:v>4995</c:v>
                </c:pt>
                <c:pt idx="1000">
                  <c:v>5000</c:v>
                </c:pt>
                <c:pt idx="1001">
                  <c:v>5005</c:v>
                </c:pt>
                <c:pt idx="1002">
                  <c:v>5010</c:v>
                </c:pt>
                <c:pt idx="1003">
                  <c:v>5015</c:v>
                </c:pt>
                <c:pt idx="1004">
                  <c:v>5020</c:v>
                </c:pt>
                <c:pt idx="1005">
                  <c:v>5025</c:v>
                </c:pt>
                <c:pt idx="1006">
                  <c:v>5030</c:v>
                </c:pt>
                <c:pt idx="1007">
                  <c:v>5035</c:v>
                </c:pt>
                <c:pt idx="1008">
                  <c:v>5040</c:v>
                </c:pt>
                <c:pt idx="1009">
                  <c:v>5045</c:v>
                </c:pt>
                <c:pt idx="1010">
                  <c:v>5050</c:v>
                </c:pt>
                <c:pt idx="1011">
                  <c:v>5055</c:v>
                </c:pt>
                <c:pt idx="1012">
                  <c:v>5060</c:v>
                </c:pt>
                <c:pt idx="1013">
                  <c:v>5065</c:v>
                </c:pt>
                <c:pt idx="1014">
                  <c:v>5070</c:v>
                </c:pt>
                <c:pt idx="1015">
                  <c:v>5075</c:v>
                </c:pt>
                <c:pt idx="1016">
                  <c:v>5080</c:v>
                </c:pt>
                <c:pt idx="1017">
                  <c:v>5085</c:v>
                </c:pt>
                <c:pt idx="1018">
                  <c:v>5090</c:v>
                </c:pt>
                <c:pt idx="1019">
                  <c:v>5095</c:v>
                </c:pt>
                <c:pt idx="1020">
                  <c:v>5100</c:v>
                </c:pt>
                <c:pt idx="1021">
                  <c:v>5105</c:v>
                </c:pt>
                <c:pt idx="1022">
                  <c:v>5110</c:v>
                </c:pt>
                <c:pt idx="1023">
                  <c:v>5115</c:v>
                </c:pt>
                <c:pt idx="1024">
                  <c:v>5120</c:v>
                </c:pt>
                <c:pt idx="1025">
                  <c:v>5125</c:v>
                </c:pt>
                <c:pt idx="1026">
                  <c:v>5130</c:v>
                </c:pt>
                <c:pt idx="1027">
                  <c:v>5135</c:v>
                </c:pt>
                <c:pt idx="1028">
                  <c:v>5140</c:v>
                </c:pt>
                <c:pt idx="1029">
                  <c:v>5145</c:v>
                </c:pt>
                <c:pt idx="1030">
                  <c:v>5150</c:v>
                </c:pt>
                <c:pt idx="1031">
                  <c:v>5155</c:v>
                </c:pt>
                <c:pt idx="1032">
                  <c:v>5160</c:v>
                </c:pt>
                <c:pt idx="1033">
                  <c:v>5165</c:v>
                </c:pt>
                <c:pt idx="1034">
                  <c:v>5170</c:v>
                </c:pt>
                <c:pt idx="1035">
                  <c:v>5175</c:v>
                </c:pt>
                <c:pt idx="1036">
                  <c:v>5180</c:v>
                </c:pt>
                <c:pt idx="1037">
                  <c:v>5185</c:v>
                </c:pt>
                <c:pt idx="1038">
                  <c:v>5190</c:v>
                </c:pt>
                <c:pt idx="1039">
                  <c:v>5195</c:v>
                </c:pt>
                <c:pt idx="1040">
                  <c:v>5200</c:v>
                </c:pt>
                <c:pt idx="1041">
                  <c:v>5205</c:v>
                </c:pt>
                <c:pt idx="1042">
                  <c:v>5210</c:v>
                </c:pt>
                <c:pt idx="1043">
                  <c:v>5215</c:v>
                </c:pt>
                <c:pt idx="1044">
                  <c:v>5220</c:v>
                </c:pt>
                <c:pt idx="1045">
                  <c:v>5225</c:v>
                </c:pt>
                <c:pt idx="1046">
                  <c:v>5230</c:v>
                </c:pt>
                <c:pt idx="1047">
                  <c:v>5235</c:v>
                </c:pt>
                <c:pt idx="1048">
                  <c:v>5240</c:v>
                </c:pt>
                <c:pt idx="1049">
                  <c:v>5245</c:v>
                </c:pt>
                <c:pt idx="1050">
                  <c:v>5250</c:v>
                </c:pt>
                <c:pt idx="1051">
                  <c:v>5255</c:v>
                </c:pt>
                <c:pt idx="1052">
                  <c:v>5260</c:v>
                </c:pt>
                <c:pt idx="1053">
                  <c:v>5265</c:v>
                </c:pt>
                <c:pt idx="1054">
                  <c:v>5270</c:v>
                </c:pt>
                <c:pt idx="1055">
                  <c:v>5275</c:v>
                </c:pt>
                <c:pt idx="1056">
                  <c:v>5280</c:v>
                </c:pt>
                <c:pt idx="1057">
                  <c:v>5285</c:v>
                </c:pt>
                <c:pt idx="1058">
                  <c:v>5290</c:v>
                </c:pt>
                <c:pt idx="1059">
                  <c:v>5295</c:v>
                </c:pt>
                <c:pt idx="1060">
                  <c:v>5300</c:v>
                </c:pt>
                <c:pt idx="1061">
                  <c:v>5305</c:v>
                </c:pt>
                <c:pt idx="1062">
                  <c:v>5310</c:v>
                </c:pt>
                <c:pt idx="1063">
                  <c:v>5315</c:v>
                </c:pt>
                <c:pt idx="1064">
                  <c:v>5320</c:v>
                </c:pt>
                <c:pt idx="1065">
                  <c:v>5325</c:v>
                </c:pt>
                <c:pt idx="1066">
                  <c:v>5330</c:v>
                </c:pt>
                <c:pt idx="1067">
                  <c:v>5335</c:v>
                </c:pt>
                <c:pt idx="1068">
                  <c:v>5340</c:v>
                </c:pt>
                <c:pt idx="1069">
                  <c:v>5345</c:v>
                </c:pt>
                <c:pt idx="1070">
                  <c:v>5350</c:v>
                </c:pt>
                <c:pt idx="1071">
                  <c:v>5355</c:v>
                </c:pt>
                <c:pt idx="1072">
                  <c:v>5360</c:v>
                </c:pt>
                <c:pt idx="1073">
                  <c:v>5365</c:v>
                </c:pt>
                <c:pt idx="1074">
                  <c:v>5370</c:v>
                </c:pt>
                <c:pt idx="1075">
                  <c:v>5375</c:v>
                </c:pt>
                <c:pt idx="1076">
                  <c:v>5380</c:v>
                </c:pt>
                <c:pt idx="1077">
                  <c:v>5385</c:v>
                </c:pt>
                <c:pt idx="1078">
                  <c:v>5390</c:v>
                </c:pt>
                <c:pt idx="1079">
                  <c:v>5395</c:v>
                </c:pt>
                <c:pt idx="1080">
                  <c:v>5400</c:v>
                </c:pt>
                <c:pt idx="1081">
                  <c:v>5405</c:v>
                </c:pt>
                <c:pt idx="1082">
                  <c:v>5410</c:v>
                </c:pt>
                <c:pt idx="1083">
                  <c:v>5415</c:v>
                </c:pt>
                <c:pt idx="1084">
                  <c:v>5420</c:v>
                </c:pt>
                <c:pt idx="1085">
                  <c:v>5425</c:v>
                </c:pt>
                <c:pt idx="1086">
                  <c:v>5430</c:v>
                </c:pt>
                <c:pt idx="1087">
                  <c:v>5435</c:v>
                </c:pt>
                <c:pt idx="1088">
                  <c:v>5440</c:v>
                </c:pt>
                <c:pt idx="1089">
                  <c:v>5445</c:v>
                </c:pt>
                <c:pt idx="1090">
                  <c:v>5450</c:v>
                </c:pt>
                <c:pt idx="1091">
                  <c:v>5455</c:v>
                </c:pt>
                <c:pt idx="1092">
                  <c:v>5460</c:v>
                </c:pt>
                <c:pt idx="1093">
                  <c:v>5465</c:v>
                </c:pt>
                <c:pt idx="1094">
                  <c:v>5470</c:v>
                </c:pt>
                <c:pt idx="1095">
                  <c:v>5475</c:v>
                </c:pt>
                <c:pt idx="1096">
                  <c:v>5480</c:v>
                </c:pt>
                <c:pt idx="1097">
                  <c:v>5485</c:v>
                </c:pt>
                <c:pt idx="1098">
                  <c:v>5490</c:v>
                </c:pt>
                <c:pt idx="1099">
                  <c:v>5495</c:v>
                </c:pt>
                <c:pt idx="1100">
                  <c:v>5500</c:v>
                </c:pt>
                <c:pt idx="1101">
                  <c:v>5505</c:v>
                </c:pt>
                <c:pt idx="1102">
                  <c:v>5510</c:v>
                </c:pt>
                <c:pt idx="1103">
                  <c:v>5515</c:v>
                </c:pt>
                <c:pt idx="1104">
                  <c:v>5520</c:v>
                </c:pt>
                <c:pt idx="1105">
                  <c:v>5525</c:v>
                </c:pt>
                <c:pt idx="1106">
                  <c:v>5530</c:v>
                </c:pt>
                <c:pt idx="1107">
                  <c:v>5535</c:v>
                </c:pt>
                <c:pt idx="1108">
                  <c:v>5540</c:v>
                </c:pt>
                <c:pt idx="1109">
                  <c:v>5545</c:v>
                </c:pt>
                <c:pt idx="1110">
                  <c:v>5550</c:v>
                </c:pt>
                <c:pt idx="1111">
                  <c:v>5555</c:v>
                </c:pt>
                <c:pt idx="1112">
                  <c:v>5560</c:v>
                </c:pt>
                <c:pt idx="1113">
                  <c:v>5565</c:v>
                </c:pt>
                <c:pt idx="1114">
                  <c:v>5570</c:v>
                </c:pt>
                <c:pt idx="1115">
                  <c:v>5575</c:v>
                </c:pt>
                <c:pt idx="1116">
                  <c:v>5580</c:v>
                </c:pt>
                <c:pt idx="1117">
                  <c:v>5585</c:v>
                </c:pt>
                <c:pt idx="1118">
                  <c:v>5590</c:v>
                </c:pt>
                <c:pt idx="1119">
                  <c:v>5595</c:v>
                </c:pt>
                <c:pt idx="1120">
                  <c:v>5600</c:v>
                </c:pt>
                <c:pt idx="1121">
                  <c:v>5605</c:v>
                </c:pt>
                <c:pt idx="1122">
                  <c:v>5610</c:v>
                </c:pt>
                <c:pt idx="1123">
                  <c:v>5615</c:v>
                </c:pt>
                <c:pt idx="1124">
                  <c:v>5620</c:v>
                </c:pt>
                <c:pt idx="1125">
                  <c:v>5625</c:v>
                </c:pt>
                <c:pt idx="1126">
                  <c:v>5630</c:v>
                </c:pt>
                <c:pt idx="1127">
                  <c:v>5635</c:v>
                </c:pt>
                <c:pt idx="1128">
                  <c:v>5640</c:v>
                </c:pt>
                <c:pt idx="1129">
                  <c:v>5645</c:v>
                </c:pt>
                <c:pt idx="1130">
                  <c:v>5650</c:v>
                </c:pt>
                <c:pt idx="1131">
                  <c:v>5655</c:v>
                </c:pt>
                <c:pt idx="1132">
                  <c:v>5660</c:v>
                </c:pt>
                <c:pt idx="1133">
                  <c:v>5665</c:v>
                </c:pt>
                <c:pt idx="1134">
                  <c:v>5670</c:v>
                </c:pt>
                <c:pt idx="1135">
                  <c:v>5675</c:v>
                </c:pt>
                <c:pt idx="1136">
                  <c:v>5680</c:v>
                </c:pt>
                <c:pt idx="1137">
                  <c:v>5685</c:v>
                </c:pt>
                <c:pt idx="1138">
                  <c:v>5690</c:v>
                </c:pt>
                <c:pt idx="1139">
                  <c:v>5695</c:v>
                </c:pt>
                <c:pt idx="1140">
                  <c:v>5700</c:v>
                </c:pt>
                <c:pt idx="1141">
                  <c:v>5705</c:v>
                </c:pt>
                <c:pt idx="1142">
                  <c:v>5710</c:v>
                </c:pt>
                <c:pt idx="1143">
                  <c:v>5715</c:v>
                </c:pt>
                <c:pt idx="1144">
                  <c:v>5720</c:v>
                </c:pt>
                <c:pt idx="1145">
                  <c:v>5725</c:v>
                </c:pt>
                <c:pt idx="1146">
                  <c:v>5730</c:v>
                </c:pt>
                <c:pt idx="1147">
                  <c:v>5735</c:v>
                </c:pt>
                <c:pt idx="1148">
                  <c:v>5740</c:v>
                </c:pt>
                <c:pt idx="1149">
                  <c:v>5745</c:v>
                </c:pt>
                <c:pt idx="1150">
                  <c:v>5750</c:v>
                </c:pt>
                <c:pt idx="1151">
                  <c:v>5755</c:v>
                </c:pt>
                <c:pt idx="1152">
                  <c:v>5760</c:v>
                </c:pt>
                <c:pt idx="1153">
                  <c:v>5765</c:v>
                </c:pt>
                <c:pt idx="1154">
                  <c:v>5770</c:v>
                </c:pt>
                <c:pt idx="1155">
                  <c:v>5775</c:v>
                </c:pt>
                <c:pt idx="1156">
                  <c:v>5780</c:v>
                </c:pt>
                <c:pt idx="1157">
                  <c:v>5785</c:v>
                </c:pt>
                <c:pt idx="1158">
                  <c:v>5790</c:v>
                </c:pt>
                <c:pt idx="1159">
                  <c:v>5795</c:v>
                </c:pt>
                <c:pt idx="1160">
                  <c:v>5800</c:v>
                </c:pt>
                <c:pt idx="1161">
                  <c:v>5805</c:v>
                </c:pt>
                <c:pt idx="1162">
                  <c:v>5810</c:v>
                </c:pt>
                <c:pt idx="1163">
                  <c:v>5815</c:v>
                </c:pt>
                <c:pt idx="1164">
                  <c:v>5820</c:v>
                </c:pt>
                <c:pt idx="1165">
                  <c:v>5825</c:v>
                </c:pt>
                <c:pt idx="1166">
                  <c:v>5830</c:v>
                </c:pt>
                <c:pt idx="1167">
                  <c:v>5835</c:v>
                </c:pt>
                <c:pt idx="1168">
                  <c:v>5840</c:v>
                </c:pt>
                <c:pt idx="1169">
                  <c:v>5845</c:v>
                </c:pt>
                <c:pt idx="1170">
                  <c:v>5850</c:v>
                </c:pt>
                <c:pt idx="1171">
                  <c:v>5855</c:v>
                </c:pt>
                <c:pt idx="1172">
                  <c:v>5860</c:v>
                </c:pt>
                <c:pt idx="1173">
                  <c:v>5865</c:v>
                </c:pt>
                <c:pt idx="1174">
                  <c:v>5870</c:v>
                </c:pt>
                <c:pt idx="1175">
                  <c:v>5875</c:v>
                </c:pt>
                <c:pt idx="1176">
                  <c:v>5880</c:v>
                </c:pt>
                <c:pt idx="1177">
                  <c:v>5885</c:v>
                </c:pt>
                <c:pt idx="1178">
                  <c:v>5890</c:v>
                </c:pt>
                <c:pt idx="1179">
                  <c:v>5895</c:v>
                </c:pt>
                <c:pt idx="1180">
                  <c:v>5900</c:v>
                </c:pt>
                <c:pt idx="1181">
                  <c:v>5905</c:v>
                </c:pt>
                <c:pt idx="1182">
                  <c:v>5910</c:v>
                </c:pt>
                <c:pt idx="1183">
                  <c:v>5915</c:v>
                </c:pt>
                <c:pt idx="1184">
                  <c:v>5920</c:v>
                </c:pt>
                <c:pt idx="1185">
                  <c:v>5925</c:v>
                </c:pt>
                <c:pt idx="1186">
                  <c:v>5930</c:v>
                </c:pt>
                <c:pt idx="1187">
                  <c:v>5935</c:v>
                </c:pt>
                <c:pt idx="1188">
                  <c:v>5940</c:v>
                </c:pt>
                <c:pt idx="1189">
                  <c:v>5945</c:v>
                </c:pt>
                <c:pt idx="1190">
                  <c:v>5950</c:v>
                </c:pt>
                <c:pt idx="1191">
                  <c:v>5955</c:v>
                </c:pt>
                <c:pt idx="1192">
                  <c:v>5960</c:v>
                </c:pt>
                <c:pt idx="1193">
                  <c:v>5965</c:v>
                </c:pt>
                <c:pt idx="1194">
                  <c:v>5970</c:v>
                </c:pt>
                <c:pt idx="1195">
                  <c:v>5975</c:v>
                </c:pt>
                <c:pt idx="1196">
                  <c:v>5980</c:v>
                </c:pt>
                <c:pt idx="1197">
                  <c:v>5985</c:v>
                </c:pt>
                <c:pt idx="1198">
                  <c:v>5990</c:v>
                </c:pt>
                <c:pt idx="1199">
                  <c:v>5995</c:v>
                </c:pt>
                <c:pt idx="1200">
                  <c:v>6000</c:v>
                </c:pt>
                <c:pt idx="1201">
                  <c:v>6005</c:v>
                </c:pt>
                <c:pt idx="1202">
                  <c:v>6010</c:v>
                </c:pt>
                <c:pt idx="1203">
                  <c:v>6015</c:v>
                </c:pt>
                <c:pt idx="1204">
                  <c:v>6020</c:v>
                </c:pt>
                <c:pt idx="1205">
                  <c:v>6025</c:v>
                </c:pt>
                <c:pt idx="1206">
                  <c:v>6030</c:v>
                </c:pt>
                <c:pt idx="1207">
                  <c:v>6035</c:v>
                </c:pt>
                <c:pt idx="1208">
                  <c:v>6040</c:v>
                </c:pt>
                <c:pt idx="1209">
                  <c:v>6045</c:v>
                </c:pt>
                <c:pt idx="1210">
                  <c:v>6050</c:v>
                </c:pt>
                <c:pt idx="1211">
                  <c:v>6055</c:v>
                </c:pt>
                <c:pt idx="1212">
                  <c:v>6060</c:v>
                </c:pt>
                <c:pt idx="1213">
                  <c:v>6065</c:v>
                </c:pt>
                <c:pt idx="1214">
                  <c:v>6070</c:v>
                </c:pt>
                <c:pt idx="1215">
                  <c:v>6075</c:v>
                </c:pt>
                <c:pt idx="1216">
                  <c:v>6080</c:v>
                </c:pt>
                <c:pt idx="1217">
                  <c:v>6085</c:v>
                </c:pt>
                <c:pt idx="1218">
                  <c:v>6090</c:v>
                </c:pt>
                <c:pt idx="1219">
                  <c:v>6095</c:v>
                </c:pt>
                <c:pt idx="1220">
                  <c:v>6100</c:v>
                </c:pt>
                <c:pt idx="1221">
                  <c:v>6105</c:v>
                </c:pt>
                <c:pt idx="1222">
                  <c:v>6110</c:v>
                </c:pt>
                <c:pt idx="1223">
                  <c:v>6115</c:v>
                </c:pt>
                <c:pt idx="1224">
                  <c:v>6120</c:v>
                </c:pt>
                <c:pt idx="1225">
                  <c:v>6125</c:v>
                </c:pt>
                <c:pt idx="1226">
                  <c:v>6130</c:v>
                </c:pt>
                <c:pt idx="1227">
                  <c:v>6135</c:v>
                </c:pt>
                <c:pt idx="1228">
                  <c:v>6140</c:v>
                </c:pt>
                <c:pt idx="1229">
                  <c:v>6145</c:v>
                </c:pt>
                <c:pt idx="1230">
                  <c:v>6150</c:v>
                </c:pt>
                <c:pt idx="1231">
                  <c:v>6155</c:v>
                </c:pt>
                <c:pt idx="1232">
                  <c:v>6160</c:v>
                </c:pt>
                <c:pt idx="1233">
                  <c:v>6165</c:v>
                </c:pt>
                <c:pt idx="1234">
                  <c:v>6170</c:v>
                </c:pt>
                <c:pt idx="1235">
                  <c:v>6175</c:v>
                </c:pt>
                <c:pt idx="1236">
                  <c:v>6180</c:v>
                </c:pt>
                <c:pt idx="1237">
                  <c:v>6185</c:v>
                </c:pt>
                <c:pt idx="1238">
                  <c:v>6190</c:v>
                </c:pt>
                <c:pt idx="1239">
                  <c:v>6195</c:v>
                </c:pt>
                <c:pt idx="1240">
                  <c:v>6200</c:v>
                </c:pt>
                <c:pt idx="1241">
                  <c:v>6205</c:v>
                </c:pt>
                <c:pt idx="1242">
                  <c:v>6210</c:v>
                </c:pt>
                <c:pt idx="1243">
                  <c:v>6215</c:v>
                </c:pt>
                <c:pt idx="1244">
                  <c:v>6220</c:v>
                </c:pt>
                <c:pt idx="1245">
                  <c:v>6225</c:v>
                </c:pt>
                <c:pt idx="1246">
                  <c:v>6230</c:v>
                </c:pt>
                <c:pt idx="1247">
                  <c:v>6235</c:v>
                </c:pt>
                <c:pt idx="1248">
                  <c:v>6240</c:v>
                </c:pt>
                <c:pt idx="1249">
                  <c:v>6245</c:v>
                </c:pt>
                <c:pt idx="1250">
                  <c:v>6250</c:v>
                </c:pt>
                <c:pt idx="1251">
                  <c:v>6255</c:v>
                </c:pt>
                <c:pt idx="1252">
                  <c:v>6260</c:v>
                </c:pt>
                <c:pt idx="1253">
                  <c:v>6265</c:v>
                </c:pt>
                <c:pt idx="1254">
                  <c:v>6270</c:v>
                </c:pt>
                <c:pt idx="1255">
                  <c:v>6275</c:v>
                </c:pt>
                <c:pt idx="1256">
                  <c:v>6280</c:v>
                </c:pt>
                <c:pt idx="1257">
                  <c:v>6285</c:v>
                </c:pt>
                <c:pt idx="1258">
                  <c:v>6290</c:v>
                </c:pt>
                <c:pt idx="1259">
                  <c:v>6295</c:v>
                </c:pt>
                <c:pt idx="1260">
                  <c:v>6300</c:v>
                </c:pt>
                <c:pt idx="1261">
                  <c:v>6305</c:v>
                </c:pt>
                <c:pt idx="1262">
                  <c:v>6310</c:v>
                </c:pt>
                <c:pt idx="1263">
                  <c:v>6315</c:v>
                </c:pt>
                <c:pt idx="1264">
                  <c:v>6320</c:v>
                </c:pt>
                <c:pt idx="1265">
                  <c:v>6325</c:v>
                </c:pt>
                <c:pt idx="1266">
                  <c:v>6330</c:v>
                </c:pt>
                <c:pt idx="1267">
                  <c:v>6335</c:v>
                </c:pt>
                <c:pt idx="1268">
                  <c:v>6340</c:v>
                </c:pt>
                <c:pt idx="1269">
                  <c:v>6345</c:v>
                </c:pt>
                <c:pt idx="1270">
                  <c:v>6350</c:v>
                </c:pt>
                <c:pt idx="1271">
                  <c:v>6355</c:v>
                </c:pt>
                <c:pt idx="1272">
                  <c:v>6360</c:v>
                </c:pt>
                <c:pt idx="1273">
                  <c:v>6365</c:v>
                </c:pt>
                <c:pt idx="1274">
                  <c:v>6370</c:v>
                </c:pt>
                <c:pt idx="1275">
                  <c:v>6375</c:v>
                </c:pt>
                <c:pt idx="1276">
                  <c:v>6380</c:v>
                </c:pt>
                <c:pt idx="1277">
                  <c:v>6385</c:v>
                </c:pt>
                <c:pt idx="1278">
                  <c:v>6390</c:v>
                </c:pt>
                <c:pt idx="1279">
                  <c:v>6395</c:v>
                </c:pt>
                <c:pt idx="1280">
                  <c:v>6400</c:v>
                </c:pt>
                <c:pt idx="1281">
                  <c:v>6405</c:v>
                </c:pt>
                <c:pt idx="1282">
                  <c:v>6410</c:v>
                </c:pt>
                <c:pt idx="1283">
                  <c:v>6415</c:v>
                </c:pt>
                <c:pt idx="1284">
                  <c:v>6420</c:v>
                </c:pt>
                <c:pt idx="1285">
                  <c:v>6425</c:v>
                </c:pt>
                <c:pt idx="1286">
                  <c:v>6430</c:v>
                </c:pt>
                <c:pt idx="1287">
                  <c:v>6435</c:v>
                </c:pt>
                <c:pt idx="1288">
                  <c:v>6440</c:v>
                </c:pt>
                <c:pt idx="1289">
                  <c:v>6445</c:v>
                </c:pt>
                <c:pt idx="1290">
                  <c:v>6450</c:v>
                </c:pt>
                <c:pt idx="1291">
                  <c:v>6455</c:v>
                </c:pt>
                <c:pt idx="1292">
                  <c:v>6460</c:v>
                </c:pt>
                <c:pt idx="1293">
                  <c:v>6465</c:v>
                </c:pt>
                <c:pt idx="1294">
                  <c:v>6470</c:v>
                </c:pt>
                <c:pt idx="1295">
                  <c:v>6475</c:v>
                </c:pt>
                <c:pt idx="1296">
                  <c:v>6480</c:v>
                </c:pt>
                <c:pt idx="1297">
                  <c:v>6485</c:v>
                </c:pt>
                <c:pt idx="1298">
                  <c:v>6490</c:v>
                </c:pt>
                <c:pt idx="1299">
                  <c:v>6495</c:v>
                </c:pt>
                <c:pt idx="1300">
                  <c:v>6500</c:v>
                </c:pt>
                <c:pt idx="1301">
                  <c:v>6505</c:v>
                </c:pt>
                <c:pt idx="1302">
                  <c:v>6510</c:v>
                </c:pt>
                <c:pt idx="1303">
                  <c:v>6515</c:v>
                </c:pt>
                <c:pt idx="1304">
                  <c:v>6520</c:v>
                </c:pt>
                <c:pt idx="1305">
                  <c:v>6525</c:v>
                </c:pt>
                <c:pt idx="1306">
                  <c:v>6530</c:v>
                </c:pt>
                <c:pt idx="1307">
                  <c:v>6535</c:v>
                </c:pt>
                <c:pt idx="1308">
                  <c:v>6540</c:v>
                </c:pt>
                <c:pt idx="1309">
                  <c:v>6545</c:v>
                </c:pt>
                <c:pt idx="1310">
                  <c:v>6550</c:v>
                </c:pt>
                <c:pt idx="1311">
                  <c:v>6555</c:v>
                </c:pt>
                <c:pt idx="1312">
                  <c:v>6560</c:v>
                </c:pt>
                <c:pt idx="1313">
                  <c:v>6565</c:v>
                </c:pt>
                <c:pt idx="1314">
                  <c:v>6570</c:v>
                </c:pt>
                <c:pt idx="1315">
                  <c:v>6575</c:v>
                </c:pt>
                <c:pt idx="1316">
                  <c:v>6580</c:v>
                </c:pt>
                <c:pt idx="1317">
                  <c:v>6585</c:v>
                </c:pt>
                <c:pt idx="1318">
                  <c:v>6590</c:v>
                </c:pt>
                <c:pt idx="1319">
                  <c:v>6595</c:v>
                </c:pt>
                <c:pt idx="1320">
                  <c:v>6600</c:v>
                </c:pt>
                <c:pt idx="1321">
                  <c:v>6605</c:v>
                </c:pt>
                <c:pt idx="1322">
                  <c:v>6610</c:v>
                </c:pt>
                <c:pt idx="1323">
                  <c:v>6615</c:v>
                </c:pt>
                <c:pt idx="1324">
                  <c:v>6620</c:v>
                </c:pt>
                <c:pt idx="1325">
                  <c:v>6625</c:v>
                </c:pt>
                <c:pt idx="1326">
                  <c:v>6630</c:v>
                </c:pt>
                <c:pt idx="1327">
                  <c:v>6635</c:v>
                </c:pt>
                <c:pt idx="1328">
                  <c:v>6640</c:v>
                </c:pt>
                <c:pt idx="1329">
                  <c:v>6645</c:v>
                </c:pt>
                <c:pt idx="1330">
                  <c:v>6650</c:v>
                </c:pt>
                <c:pt idx="1331">
                  <c:v>6655</c:v>
                </c:pt>
                <c:pt idx="1332">
                  <c:v>6660</c:v>
                </c:pt>
                <c:pt idx="1333">
                  <c:v>6665</c:v>
                </c:pt>
                <c:pt idx="1334">
                  <c:v>6670</c:v>
                </c:pt>
                <c:pt idx="1335">
                  <c:v>6675</c:v>
                </c:pt>
                <c:pt idx="1336">
                  <c:v>6680</c:v>
                </c:pt>
                <c:pt idx="1337">
                  <c:v>6685</c:v>
                </c:pt>
                <c:pt idx="1338">
                  <c:v>6690</c:v>
                </c:pt>
                <c:pt idx="1339">
                  <c:v>6695</c:v>
                </c:pt>
                <c:pt idx="1340">
                  <c:v>6700</c:v>
                </c:pt>
                <c:pt idx="1341">
                  <c:v>6705</c:v>
                </c:pt>
                <c:pt idx="1342">
                  <c:v>6710</c:v>
                </c:pt>
                <c:pt idx="1343">
                  <c:v>6715</c:v>
                </c:pt>
                <c:pt idx="1344">
                  <c:v>6720</c:v>
                </c:pt>
                <c:pt idx="1345">
                  <c:v>6725</c:v>
                </c:pt>
                <c:pt idx="1346">
                  <c:v>6730</c:v>
                </c:pt>
                <c:pt idx="1347">
                  <c:v>6735</c:v>
                </c:pt>
                <c:pt idx="1348">
                  <c:v>6740</c:v>
                </c:pt>
                <c:pt idx="1349">
                  <c:v>6745</c:v>
                </c:pt>
                <c:pt idx="1350">
                  <c:v>6750</c:v>
                </c:pt>
                <c:pt idx="1351">
                  <c:v>6755</c:v>
                </c:pt>
                <c:pt idx="1352">
                  <c:v>6760</c:v>
                </c:pt>
                <c:pt idx="1353">
                  <c:v>6765</c:v>
                </c:pt>
                <c:pt idx="1354">
                  <c:v>6770</c:v>
                </c:pt>
                <c:pt idx="1355">
                  <c:v>6775</c:v>
                </c:pt>
                <c:pt idx="1356">
                  <c:v>6780</c:v>
                </c:pt>
                <c:pt idx="1357">
                  <c:v>6785</c:v>
                </c:pt>
                <c:pt idx="1358">
                  <c:v>6790</c:v>
                </c:pt>
                <c:pt idx="1359">
                  <c:v>6795</c:v>
                </c:pt>
                <c:pt idx="1360">
                  <c:v>6800</c:v>
                </c:pt>
                <c:pt idx="1361">
                  <c:v>6805</c:v>
                </c:pt>
                <c:pt idx="1362">
                  <c:v>6810</c:v>
                </c:pt>
                <c:pt idx="1363">
                  <c:v>6815</c:v>
                </c:pt>
                <c:pt idx="1364">
                  <c:v>6820</c:v>
                </c:pt>
                <c:pt idx="1365">
                  <c:v>6825</c:v>
                </c:pt>
                <c:pt idx="1366">
                  <c:v>6830</c:v>
                </c:pt>
                <c:pt idx="1367">
                  <c:v>6835</c:v>
                </c:pt>
                <c:pt idx="1368">
                  <c:v>6840</c:v>
                </c:pt>
                <c:pt idx="1369">
                  <c:v>6845</c:v>
                </c:pt>
                <c:pt idx="1370">
                  <c:v>6850</c:v>
                </c:pt>
                <c:pt idx="1371">
                  <c:v>6855</c:v>
                </c:pt>
                <c:pt idx="1372">
                  <c:v>6860</c:v>
                </c:pt>
                <c:pt idx="1373">
                  <c:v>6865</c:v>
                </c:pt>
                <c:pt idx="1374">
                  <c:v>6870</c:v>
                </c:pt>
                <c:pt idx="1375">
                  <c:v>6875</c:v>
                </c:pt>
                <c:pt idx="1376">
                  <c:v>6880</c:v>
                </c:pt>
                <c:pt idx="1377">
                  <c:v>6885</c:v>
                </c:pt>
                <c:pt idx="1378">
                  <c:v>6890</c:v>
                </c:pt>
                <c:pt idx="1379">
                  <c:v>6895</c:v>
                </c:pt>
                <c:pt idx="1380">
                  <c:v>6900</c:v>
                </c:pt>
                <c:pt idx="1381">
                  <c:v>6905</c:v>
                </c:pt>
                <c:pt idx="1382">
                  <c:v>6910</c:v>
                </c:pt>
                <c:pt idx="1383">
                  <c:v>6915</c:v>
                </c:pt>
                <c:pt idx="1384">
                  <c:v>6920</c:v>
                </c:pt>
                <c:pt idx="1385">
                  <c:v>6925</c:v>
                </c:pt>
                <c:pt idx="1386">
                  <c:v>6930</c:v>
                </c:pt>
                <c:pt idx="1387">
                  <c:v>6935</c:v>
                </c:pt>
                <c:pt idx="1388">
                  <c:v>6940</c:v>
                </c:pt>
                <c:pt idx="1389">
                  <c:v>6945</c:v>
                </c:pt>
                <c:pt idx="1390">
                  <c:v>6950</c:v>
                </c:pt>
                <c:pt idx="1391">
                  <c:v>6955</c:v>
                </c:pt>
                <c:pt idx="1392">
                  <c:v>6960</c:v>
                </c:pt>
                <c:pt idx="1393">
                  <c:v>6965</c:v>
                </c:pt>
                <c:pt idx="1394">
                  <c:v>6970</c:v>
                </c:pt>
                <c:pt idx="1395">
                  <c:v>6975</c:v>
                </c:pt>
                <c:pt idx="1396">
                  <c:v>6980</c:v>
                </c:pt>
                <c:pt idx="1397">
                  <c:v>6985</c:v>
                </c:pt>
                <c:pt idx="1398">
                  <c:v>6990</c:v>
                </c:pt>
                <c:pt idx="1399">
                  <c:v>6995</c:v>
                </c:pt>
                <c:pt idx="1400">
                  <c:v>7000</c:v>
                </c:pt>
              </c:numCache>
            </c:numRef>
          </c:xVal>
          <c:yVal>
            <c:numRef>
              <c:f>'Face Support'!$T$2:$T$1497</c:f>
              <c:numCache>
                <c:formatCode>0.00</c:formatCode>
                <c:ptCount val="1496"/>
                <c:pt idx="0">
                  <c:v>9.9999999999999929</c:v>
                </c:pt>
                <c:pt idx="1">
                  <c:v>9.4285714285714235</c:v>
                </c:pt>
                <c:pt idx="2">
                  <c:v>8.9374999999999929</c:v>
                </c:pt>
                <c:pt idx="3">
                  <c:v>8.5094420768659269</c:v>
                </c:pt>
                <c:pt idx="4">
                  <c:v>8.1319041570960344</c:v>
                </c:pt>
                <c:pt idx="5">
                  <c:v>7.7956217934009402</c:v>
                </c:pt>
                <c:pt idx="6">
                  <c:v>7.4935567434834516</c:v>
                </c:pt>
                <c:pt idx="7">
                  <c:v>7.2202511866936465</c:v>
                </c:pt>
                <c:pt idx="8">
                  <c:v>6.9713975902834999</c:v>
                </c:pt>
                <c:pt idx="9">
                  <c:v>6.7435438271915453</c:v>
                </c:pt>
                <c:pt idx="10">
                  <c:v>6.5338859103021578</c:v>
                </c:pt>
                <c:pt idx="11">
                  <c:v>6.3401190999802255</c:v>
                </c:pt>
                <c:pt idx="12">
                  <c:v>6.1603288696818064</c:v>
                </c:pt>
                <c:pt idx="13">
                  <c:v>5.9929096847510506</c:v>
                </c:pt>
                <c:pt idx="14">
                  <c:v>5.8365035683708459</c:v>
                </c:pt>
                <c:pt idx="15">
                  <c:v>5.6899529908270896</c:v>
                </c:pt>
                <c:pt idx="16">
                  <c:v>5.5522642902915571</c:v>
                </c:pt>
                <c:pt idx="17">
                  <c:v>5.4225789476041362</c:v>
                </c:pt>
                <c:pt idx="18">
                  <c:v>5.3001507943257211</c:v>
                </c:pt>
                <c:pt idx="19">
                  <c:v>5.1843277562685435</c:v>
                </c:pt>
                <c:pt idx="20">
                  <c:v>5.0745371017900132</c:v>
                </c:pt>
                <c:pt idx="21">
                  <c:v>4.9702734255587782</c:v>
                </c:pt>
                <c:pt idx="22">
                  <c:v>4.8710887871701161</c:v>
                </c:pt>
                <c:pt idx="23">
                  <c:v>4.776584561831422</c:v>
                </c:pt>
                <c:pt idx="24">
                  <c:v>4.686404662200899</c:v>
                </c:pt>
                <c:pt idx="25">
                  <c:v>4.6002298665356554</c:v>
                </c:pt>
                <c:pt idx="26">
                  <c:v>4.5177730456807161</c:v>
                </c:pt>
                <c:pt idx="27">
                  <c:v>4.4387751251033523</c:v>
                </c:pt>
                <c:pt idx="28">
                  <c:v>4.3630016517076777</c:v>
                </c:pt>
                <c:pt idx="29">
                  <c:v>4.2902398611167669</c:v>
                </c:pt>
                <c:pt idx="30">
                  <c:v>4.2202961613495376</c:v>
                </c:pt>
                <c:pt idx="31">
                  <c:v>4.1529939647179077</c:v>
                </c:pt>
                <c:pt idx="32">
                  <c:v>4.0881718123423569</c:v>
                </c:pt>
                <c:pt idx="33">
                  <c:v>4.0256817456900844</c:v>
                </c:pt>
                <c:pt idx="34">
                  <c:v>3.9653878875518211</c:v>
                </c:pt>
                <c:pt idx="35">
                  <c:v>3.9071652013252138</c:v>
                </c:pt>
                <c:pt idx="36">
                  <c:v>3.8508984026965853</c:v>
                </c:pt>
                <c:pt idx="37">
                  <c:v>3.7964810020645534</c:v>
                </c:pt>
                <c:pt idx="38">
                  <c:v>3.7438144595262832</c:v>
                </c:pt>
                <c:pt idx="39">
                  <c:v>3.6928074371046744</c:v>
                </c:pt>
                <c:pt idx="40">
                  <c:v>3.6433751352532835</c:v>
                </c:pt>
                <c:pt idx="41">
                  <c:v>3.5954387026310046</c:v>
                </c:pt>
                <c:pt idx="42">
                  <c:v>3.5489247097658323</c:v>
                </c:pt>
                <c:pt idx="43">
                  <c:v>3.503764678586895</c:v>
                </c:pt>
                <c:pt idx="44">
                  <c:v>3.4598946609444559</c:v>
                </c:pt>
                <c:pt idx="45">
                  <c:v>3.4172548601976618</c:v>
                </c:pt>
                <c:pt idx="46">
                  <c:v>3.3757892907607294</c:v>
                </c:pt>
                <c:pt idx="47">
                  <c:v>3.3354454711855297</c:v>
                </c:pt>
                <c:pt idx="48">
                  <c:v>3.2961741469427439</c:v>
                </c:pt>
                <c:pt idx="49">
                  <c:v>3.2579290395620832</c:v>
                </c:pt>
                <c:pt idx="50">
                  <c:v>3.2206666192181728</c:v>
                </c:pt>
                <c:pt idx="51">
                  <c:v>3.184345898214227</c:v>
                </c:pt>
                <c:pt idx="52">
                  <c:v>3.1489282431300465</c:v>
                </c:pt>
                <c:pt idx="53">
                  <c:v>3.1143772036719786</c:v>
                </c:pt>
                <c:pt idx="54">
                  <c:v>3.0806583564968228</c:v>
                </c:pt>
                <c:pt idx="55">
                  <c:v>3.0477391624848913</c:v>
                </c:pt>
                <c:pt idx="56">
                  <c:v>3.0155888361138463</c:v>
                </c:pt>
                <c:pt idx="57">
                  <c:v>2.9841782257386611</c:v>
                </c:pt>
                <c:pt idx="58">
                  <c:v>2.9534797037171354</c:v>
                </c:pt>
                <c:pt idx="59">
                  <c:v>2.9234670654377255</c:v>
                </c:pt>
                <c:pt idx="60">
                  <c:v>2.8941154364092183</c:v>
                </c:pt>
                <c:pt idx="61">
                  <c:v>2.8654011866620821</c:v>
                </c:pt>
                <c:pt idx="62">
                  <c:v>2.8373018517907713</c:v>
                </c:pt>
                <c:pt idx="63">
                  <c:v>2.8097960600362715</c:v>
                </c:pt>
                <c:pt idx="64">
                  <c:v>2.7828634648700614</c:v>
                </c:pt>
                <c:pt idx="65">
                  <c:v>2.7564846825953824</c:v>
                </c:pt>
                <c:pt idx="66">
                  <c:v>2.7306412345302378</c:v>
                </c:pt>
                <c:pt idx="67">
                  <c:v>2.7053154933795942</c:v>
                </c:pt>
                <c:pt idx="68">
                  <c:v>2.6804906334426004</c:v>
                </c:pt>
                <c:pt idx="69">
                  <c:v>2.6561505843347346</c:v>
                </c:pt>
                <c:pt idx="70">
                  <c:v>2.632279987935255</c:v>
                </c:pt>
                <c:pt idx="71">
                  <c:v>2.6088641582975103</c:v>
                </c:pt>
                <c:pt idx="72">
                  <c:v>2.5858890442840385</c:v>
                </c:pt>
                <c:pt idx="73">
                  <c:v>2.563341194710171</c:v>
                </c:pt>
                <c:pt idx="74">
                  <c:v>2.5412077257994361</c:v>
                </c:pt>
                <c:pt idx="75">
                  <c:v>2.519476290771669</c:v>
                </c:pt>
                <c:pt idx="76">
                  <c:v>2.4981350514005314</c:v>
                </c:pt>
                <c:pt idx="77">
                  <c:v>2.4771726513914274</c:v>
                </c:pt>
                <c:pt idx="78">
                  <c:v>2.4565781914436684</c:v>
                </c:pt>
                <c:pt idx="79">
                  <c:v>2.4363412058723308</c:v>
                </c:pt>
                <c:pt idx="80">
                  <c:v>2.4164516406758101</c:v>
                </c:pt>
                <c:pt idx="81">
                  <c:v>2.3968998329445279</c:v>
                </c:pt>
                <c:pt idx="82">
                  <c:v>2.3776764915149355</c:v>
                </c:pt>
                <c:pt idx="83">
                  <c:v>2.3587726787807282</c:v>
                </c:pt>
                <c:pt idx="84">
                  <c:v>2.3401797935803317</c:v>
                </c:pt>
                <c:pt idx="85">
                  <c:v>2.3218895550861811</c:v>
                </c:pt>
                <c:pt idx="86">
                  <c:v>2.3038939876271813</c:v>
                </c:pt>
                <c:pt idx="87">
                  <c:v>2.2861854063811218</c:v>
                </c:pt>
                <c:pt idx="88">
                  <c:v>2.268756403878716</c:v>
                </c:pt>
                <c:pt idx="89">
                  <c:v>2.2515998372653803</c:v>
                </c:pt>
                <c:pt idx="90">
                  <c:v>2.2347088162709801</c:v>
                </c:pt>
                <c:pt idx="91">
                  <c:v>2.2180766918414876</c:v>
                </c:pt>
                <c:pt idx="92">
                  <c:v>2.2016970453899307</c:v>
                </c:pt>
                <c:pt idx="93">
                  <c:v>2.1855636786271511</c:v>
                </c:pt>
                <c:pt idx="94">
                  <c:v>2.169670603935741</c:v>
                </c:pt>
                <c:pt idx="95">
                  <c:v>2.1540120352532175</c:v>
                </c:pt>
                <c:pt idx="96">
                  <c:v>2.1385823794328727</c:v>
                </c:pt>
                <c:pt idx="97">
                  <c:v>2.1233762280530031</c:v>
                </c:pt>
                <c:pt idx="98">
                  <c:v>2.1083883496472682</c:v>
                </c:pt>
                <c:pt idx="99">
                  <c:v>2.0936136823308162</c:v>
                </c:pt>
                <c:pt idx="100">
                  <c:v>2.0790473267985674</c:v>
                </c:pt>
                <c:pt idx="101">
                  <c:v>2.0646845396736619</c:v>
                </c:pt>
                <c:pt idx="102">
                  <c:v>2.0505207271855417</c:v>
                </c:pt>
                <c:pt idx="103">
                  <c:v>2.0365514391585497</c:v>
                </c:pt>
                <c:pt idx="104">
                  <c:v>2.0227723632931629</c:v>
                </c:pt>
                <c:pt idx="105">
                  <c:v>2.0091793197231711</c:v>
                </c:pt>
                <c:pt idx="106">
                  <c:v>1.9957682558332122</c:v>
                </c:pt>
                <c:pt idx="107">
                  <c:v>1.9825352413220461</c:v>
                </c:pt>
                <c:pt idx="108">
                  <c:v>1.9694764634979347</c:v>
                </c:pt>
                <c:pt idx="109">
                  <c:v>1.9565882227933267</c:v>
                </c:pt>
                <c:pt idx="110">
                  <c:v>1.9438669284868668</c:v>
                </c:pt>
                <c:pt idx="111">
                  <c:v>1.9313090946214986</c:v>
                </c:pt>
                <c:pt idx="112">
                  <c:v>1.9189113361081209</c:v>
                </c:pt>
                <c:pt idx="113">
                  <c:v>1.9066703650049179</c:v>
                </c:pt>
                <c:pt idx="114">
                  <c:v>1.8945829869630639</c:v>
                </c:pt>
                <c:pt idx="115">
                  <c:v>1.8826460978300918</c:v>
                </c:pt>
                <c:pt idx="116">
                  <c:v>1.8708566804027216</c:v>
                </c:pt>
                <c:pt idx="117">
                  <c:v>1.8592118013214327</c:v>
                </c:pt>
                <c:pt idx="118">
                  <c:v>1.8477086080995324</c:v>
                </c:pt>
                <c:pt idx="119">
                  <c:v>1.836344326279882</c:v>
                </c:pt>
                <c:pt idx="120">
                  <c:v>1.8251162567128534</c:v>
                </c:pt>
                <c:pt idx="121">
                  <c:v>1.8140217729494461</c:v>
                </c:pt>
                <c:pt idx="122">
                  <c:v>1.8030583187438638</c:v>
                </c:pt>
                <c:pt idx="123">
                  <c:v>1.7922234056601407</c:v>
                </c:pt>
                <c:pt idx="124">
                  <c:v>1.7815146107777489</c:v>
                </c:pt>
                <c:pt idx="125">
                  <c:v>1.7709295744913767</c:v>
                </c:pt>
                <c:pt idx="126">
                  <c:v>1.760465998400343</c:v>
                </c:pt>
                <c:pt idx="127">
                  <c:v>1.7501216432833682</c:v>
                </c:pt>
                <c:pt idx="128">
                  <c:v>1.7398943271546465</c:v>
                </c:pt>
                <c:pt idx="129">
                  <c:v>1.7297819233973935</c:v>
                </c:pt>
                <c:pt idx="130">
                  <c:v>1.7197823589712422</c:v>
                </c:pt>
                <c:pt idx="131">
                  <c:v>1.7098936126900655</c:v>
                </c:pt>
                <c:pt idx="132">
                  <c:v>1.7001137135669666</c:v>
                </c:pt>
                <c:pt idx="133">
                  <c:v>1.69044073922338</c:v>
                </c:pt>
                <c:pt idx="134">
                  <c:v>1.6808728143593477</c:v>
                </c:pt>
                <c:pt idx="135">
                  <c:v>1.671408109282229</c:v>
                </c:pt>
                <c:pt idx="136">
                  <c:v>1.6620448384912101</c:v>
                </c:pt>
                <c:pt idx="137">
                  <c:v>1.6527812593151392</c:v>
                </c:pt>
                <c:pt idx="138">
                  <c:v>1.643615670601321</c:v>
                </c:pt>
                <c:pt idx="139">
                  <c:v>1.6345464114530379</c:v>
                </c:pt>
                <c:pt idx="140">
                  <c:v>1.6255718600136713</c:v>
                </c:pt>
                <c:pt idx="141">
                  <c:v>1.616690432295403</c:v>
                </c:pt>
                <c:pt idx="142">
                  <c:v>1.6079005810505749</c:v>
                </c:pt>
                <c:pt idx="143">
                  <c:v>1.5992007946838909</c:v>
                </c:pt>
                <c:pt idx="144">
                  <c:v>1.5905895962037144</c:v>
                </c:pt>
                <c:pt idx="145">
                  <c:v>1.582065542210825</c:v>
                </c:pt>
                <c:pt idx="146">
                  <c:v>1.5736272219230496</c:v>
                </c:pt>
                <c:pt idx="147">
                  <c:v>1.5652732562342806</c:v>
                </c:pt>
                <c:pt idx="148">
                  <c:v>1.5570022968064636</c:v>
                </c:pt>
                <c:pt idx="149">
                  <c:v>1.5488130251931849</c:v>
                </c:pt>
                <c:pt idx="150">
                  <c:v>1.5407041519935678</c:v>
                </c:pt>
                <c:pt idx="151">
                  <c:v>1.5326744160352743</c:v>
                </c:pt>
                <c:pt idx="152">
                  <c:v>1.5247225835853857</c:v>
                </c:pt>
                <c:pt idx="153">
                  <c:v>1.5168474475880993</c:v>
                </c:pt>
                <c:pt idx="154">
                  <c:v>1.5090478269281264</c:v>
                </c:pt>
                <c:pt idx="155">
                  <c:v>1.5013225657188074</c:v>
                </c:pt>
                <c:pt idx="156">
                  <c:v>1.4936705326139414</c:v>
                </c:pt>
                <c:pt idx="157">
                  <c:v>1.4860906201424269</c:v>
                </c:pt>
                <c:pt idx="158">
                  <c:v>1.4785817440648099</c:v>
                </c:pt>
                <c:pt idx="159">
                  <c:v>1.4711428427508941</c:v>
                </c:pt>
                <c:pt idx="160">
                  <c:v>1.463772876577609</c:v>
                </c:pt>
                <c:pt idx="161">
                  <c:v>1.4564708273463605</c:v>
                </c:pt>
                <c:pt idx="162">
                  <c:v>1.4492356977191121</c:v>
                </c:pt>
                <c:pt idx="163">
                  <c:v>1.442066510672507</c:v>
                </c:pt>
                <c:pt idx="164">
                  <c:v>1.4349623089693382</c:v>
                </c:pt>
                <c:pt idx="165">
                  <c:v>1.4279221546467289</c:v>
                </c:pt>
                <c:pt idx="166">
                  <c:v>1.4209451285203933</c:v>
                </c:pt>
                <c:pt idx="167">
                  <c:v>1.4140303297043924</c:v>
                </c:pt>
                <c:pt idx="168">
                  <c:v>1.4071768751458122</c:v>
                </c:pt>
                <c:pt idx="169">
                  <c:v>1.4003838991738167</c:v>
                </c:pt>
                <c:pt idx="170">
                  <c:v>1.3936505530625591</c:v>
                </c:pt>
                <c:pt idx="171">
                  <c:v>1.3869760046074477</c:v>
                </c:pt>
                <c:pt idx="172">
                  <c:v>1.3803594377142854</c:v>
                </c:pt>
                <c:pt idx="173">
                  <c:v>1.3738000520008302</c:v>
                </c:pt>
                <c:pt idx="174">
                  <c:v>1.3672970624103236</c:v>
                </c:pt>
                <c:pt idx="175">
                  <c:v>1.3608496988365775</c:v>
                </c:pt>
                <c:pt idx="176">
                  <c:v>1.3544572057602033</c:v>
                </c:pt>
                <c:pt idx="177">
                  <c:v>1.3481188418955987</c:v>
                </c:pt>
                <c:pt idx="178">
                  <c:v>1.3418338798483149</c:v>
                </c:pt>
                <c:pt idx="179">
                  <c:v>1.3356016057824542</c:v>
                </c:pt>
                <c:pt idx="180">
                  <c:v>1.3294213190977391</c:v>
                </c:pt>
                <c:pt idx="181">
                  <c:v>1.323292332115934</c:v>
                </c:pt>
                <c:pt idx="182">
                  <c:v>1.3172139697762948</c:v>
                </c:pt>
                <c:pt idx="183">
                  <c:v>1.3111855693397441</c:v>
                </c:pt>
                <c:pt idx="184">
                  <c:v>1.3052064801014742</c:v>
                </c:pt>
                <c:pt idx="185">
                  <c:v>1.2992760631117033</c:v>
                </c:pt>
                <c:pt idx="186">
                  <c:v>1.2933936909043002</c:v>
                </c:pt>
                <c:pt idx="187">
                  <c:v>1.2875587472330345</c:v>
                </c:pt>
                <c:pt idx="188">
                  <c:v>1.2817706268151805</c:v>
                </c:pt>
                <c:pt idx="189">
                  <c:v>1.2760287350822488</c:v>
                </c:pt>
                <c:pt idx="190">
                  <c:v>1.2703324879376088</c:v>
                </c:pt>
                <c:pt idx="191">
                  <c:v>1.264681311520772</c:v>
                </c:pt>
                <c:pt idx="192">
                  <c:v>1.2590746419781296</c:v>
                </c:pt>
                <c:pt idx="193">
                  <c:v>1.253511925239932</c:v>
                </c:pt>
                <c:pt idx="194">
                  <c:v>1.2479926168033109</c:v>
                </c:pt>
                <c:pt idx="195">
                  <c:v>1.2425161815211474</c:v>
                </c:pt>
                <c:pt idx="196">
                  <c:v>1.2370820933966147</c:v>
                </c:pt>
                <c:pt idx="197">
                  <c:v>1.231689835383196</c:v>
                </c:pt>
                <c:pt idx="198">
                  <c:v>1.2263388991900237</c:v>
                </c:pt>
                <c:pt idx="199">
                  <c:v>1.2210287850923629</c:v>
                </c:pt>
                <c:pt idx="200">
                  <c:v>1.2157590017470838</c:v>
                </c:pt>
                <c:pt idx="201">
                  <c:v>1.2105290660129657</c:v>
                </c:pt>
                <c:pt idx="202">
                  <c:v>1.2053385027756884</c:v>
                </c:pt>
                <c:pt idx="203">
                  <c:v>1.2001868447773616</c:v>
                </c:pt>
                <c:pt idx="204">
                  <c:v>1.1950736324504585</c:v>
                </c:pt>
                <c:pt idx="205">
                  <c:v>1.1899984137560156</c:v>
                </c:pt>
                <c:pt idx="206">
                  <c:v>1.1849607440259748</c:v>
                </c:pt>
                <c:pt idx="207">
                  <c:v>1.1799601858095379</c:v>
                </c:pt>
                <c:pt idx="208">
                  <c:v>1.1749963087234174</c:v>
                </c:pt>
                <c:pt idx="209">
                  <c:v>1.170068689305866</c:v>
                </c:pt>
                <c:pt idx="210">
                  <c:v>1.1651769108743701</c:v>
                </c:pt>
                <c:pt idx="211">
                  <c:v>1.1603205633869054</c:v>
                </c:pt>
                <c:pt idx="212">
                  <c:v>1.1554992433066411</c:v>
                </c:pt>
                <c:pt idx="213">
                  <c:v>1.1507125534700016</c:v>
                </c:pt>
                <c:pt idx="214">
                  <c:v>1.1459601029579769</c:v>
                </c:pt>
                <c:pt idx="215">
                  <c:v>1.1412415069706003</c:v>
                </c:pt>
                <c:pt idx="216">
                  <c:v>1.1365563867044877</c:v>
                </c:pt>
                <c:pt idx="217">
                  <c:v>1.1319043692333637</c:v>
                </c:pt>
                <c:pt idx="218">
                  <c:v>1.1272850873914781</c:v>
                </c:pt>
                <c:pt idx="219">
                  <c:v>1.122698179659839</c:v>
                </c:pt>
                <c:pt idx="220">
                  <c:v>1.1181432900551755</c:v>
                </c:pt>
                <c:pt idx="221">
                  <c:v>1.1136200680215593</c:v>
                </c:pt>
                <c:pt idx="222">
                  <c:v>1.1091281683246044</c:v>
                </c:pt>
                <c:pt idx="223">
                  <c:v>1.1046672509481759</c:v>
                </c:pt>
                <c:pt idx="224">
                  <c:v>1.1002369809935422</c:v>
                </c:pt>
                <c:pt idx="225">
                  <c:v>1.0958370285808878</c:v>
                </c:pt>
                <c:pt idx="226">
                  <c:v>1.0914670687531443</c:v>
                </c:pt>
                <c:pt idx="227">
                  <c:v>1.0871267813820518</c:v>
                </c:pt>
                <c:pt idx="228">
                  <c:v>1.0828158510764083</c:v>
                </c:pt>
                <c:pt idx="229">
                  <c:v>1.0785339670924354</c:v>
                </c:pt>
                <c:pt idx="230">
                  <c:v>1.0742808232462107</c:v>
                </c:pt>
                <c:pt idx="231">
                  <c:v>1.0700561178281045</c:v>
                </c:pt>
                <c:pt idx="232">
                  <c:v>1.0658595535191708</c:v>
                </c:pt>
                <c:pt idx="233">
                  <c:v>1.0616908373094398</c:v>
                </c:pt>
                <c:pt idx="234">
                  <c:v>1.0575496804180577</c:v>
                </c:pt>
                <c:pt idx="235">
                  <c:v>1.0534357982152314</c:v>
                </c:pt>
                <c:pt idx="236">
                  <c:v>1.0493489101459199</c:v>
                </c:pt>
                <c:pt idx="237">
                  <c:v>1.0452887396552391</c:v>
                </c:pt>
                <c:pt idx="238">
                  <c:v>1.0412550141155215</c:v>
                </c:pt>
                <c:pt idx="239">
                  <c:v>1.0372474647549983</c:v>
                </c:pt>
                <c:pt idx="240">
                  <c:v>1.0332658265880565</c:v>
                </c:pt>
                <c:pt idx="241">
                  <c:v>1.0293098383470294</c:v>
                </c:pt>
                <c:pt idx="242">
                  <c:v>1.0253792424154817</c:v>
                </c:pt>
                <c:pt idx="243">
                  <c:v>1.0214737847629567</c:v>
                </c:pt>
                <c:pt idx="244">
                  <c:v>1.0175932148811333</c:v>
                </c:pt>
                <c:pt idx="245">
                  <c:v>1.013737285721372</c:v>
                </c:pt>
                <c:pt idx="246">
                  <c:v>1.0099057536336089</c:v>
                </c:pt>
                <c:pt idx="247">
                  <c:v>1.0060983783065598</c:v>
                </c:pt>
                <c:pt idx="248">
                  <c:v>1.0023149227092059</c:v>
                </c:pt>
                <c:pt idx="249">
                  <c:v>0.99855515303352516</c:v>
                </c:pt>
                <c:pt idx="250">
                  <c:v>0.99481883863844578</c:v>
                </c:pt>
                <c:pt idx="251">
                  <c:v>0.99110575199497863</c:v>
                </c:pt>
                <c:pt idx="252">
                  <c:v>0.98741566863251196</c:v>
                </c:pt>
                <c:pt idx="253">
                  <c:v>0.98374836708623048</c:v>
                </c:pt>
                <c:pt idx="254">
                  <c:v>0.98010362884563518</c:v>
                </c:pt>
                <c:pt idx="255">
                  <c:v>0.9764812383041378</c:v>
                </c:pt>
                <c:pt idx="256">
                  <c:v>0.97288098270969814</c:v>
                </c:pt>
                <c:pt idx="257">
                  <c:v>0.96930265211648914</c:v>
                </c:pt>
                <c:pt idx="258">
                  <c:v>0.96574603933754677</c:v>
                </c:pt>
                <c:pt idx="259">
                  <c:v>0.96221093989840545</c:v>
                </c:pt>
                <c:pt idx="260">
                  <c:v>0.95869715199167083</c:v>
                </c:pt>
                <c:pt idx="261">
                  <c:v>0.95520447643252548</c:v>
                </c:pt>
                <c:pt idx="262">
                  <c:v>0.95173271661513281</c:v>
                </c:pt>
                <c:pt idx="263">
                  <c:v>0.94828167846992695</c:v>
                </c:pt>
                <c:pt idx="264">
                  <c:v>0.94485117042175992</c:v>
                </c:pt>
                <c:pt idx="265">
                  <c:v>0.94144100334889347</c:v>
                </c:pt>
                <c:pt idx="266">
                  <c:v>0.93805099054280683</c:v>
                </c:pt>
                <c:pt idx="267">
                  <c:v>0.93468094766880894</c:v>
                </c:pt>
                <c:pt idx="268">
                  <c:v>0.93133069272743207</c:v>
                </c:pt>
                <c:pt idx="269">
                  <c:v>0.9280000460165887</c:v>
                </c:pt>
                <c:pt idx="270">
                  <c:v>0.924688830094477</c:v>
                </c:pt>
                <c:pt idx="271">
                  <c:v>0.92139686974321289</c:v>
                </c:pt>
                <c:pt idx="272">
                  <c:v>0.91812399193317473</c:v>
                </c:pt>
                <c:pt idx="273">
                  <c:v>0.91487002578804566</c:v>
                </c:pt>
                <c:pt idx="274">
                  <c:v>0.91163480255053364</c:v>
                </c:pt>
                <c:pt idx="275">
                  <c:v>0.90841815554875593</c:v>
                </c:pt>
                <c:pt idx="276">
                  <c:v>0.90521992016327324</c:v>
                </c:pt>
                <c:pt idx="277">
                  <c:v>0.90203993379475778</c:v>
                </c:pt>
                <c:pt idx="278">
                  <c:v>0.89887803583228088</c:v>
                </c:pt>
                <c:pt idx="279">
                  <c:v>0.89573406762220786</c:v>
                </c:pt>
                <c:pt idx="280">
                  <c:v>0.89260787243768402</c:v>
                </c:pt>
                <c:pt idx="281">
                  <c:v>0.88949929544869899</c:v>
                </c:pt>
                <c:pt idx="282">
                  <c:v>0.8864081836927189</c:v>
                </c:pt>
                <c:pt idx="283">
                  <c:v>0.88333438604587067</c:v>
                </c:pt>
                <c:pt idx="284">
                  <c:v>0.88027775319466839</c:v>
                </c:pt>
                <c:pt idx="285">
                  <c:v>0.87723813760826741</c:v>
                </c:pt>
                <c:pt idx="286">
                  <c:v>0.87421539351123889</c:v>
                </c:pt>
                <c:pt idx="287">
                  <c:v>0.8712093768568473</c:v>
                </c:pt>
                <c:pt idx="288">
                  <c:v>0.86821994530082525</c:v>
                </c:pt>
                <c:pt idx="289">
                  <c:v>0.86524695817563024</c:v>
                </c:pt>
                <c:pt idx="290">
                  <c:v>0.86229027646517953</c:v>
                </c:pt>
                <c:pt idx="291">
                  <c:v>0.85934976278004205</c:v>
                </c:pt>
                <c:pt idx="292">
                  <c:v>0.8564252813330917</c:v>
                </c:pt>
                <c:pt idx="293">
                  <c:v>0.85351669791559626</c:v>
                </c:pt>
                <c:pt idx="294">
                  <c:v>0.85062387987374788</c:v>
                </c:pt>
                <c:pt idx="295">
                  <c:v>0.84774669608561137</c:v>
                </c:pt>
                <c:pt idx="296">
                  <c:v>0.84488501693849638</c:v>
                </c:pt>
                <c:pt idx="297">
                  <c:v>0.84203871430672828</c:v>
                </c:pt>
                <c:pt idx="298">
                  <c:v>0.8392076615298234</c:v>
                </c:pt>
                <c:pt idx="299">
                  <c:v>0.83639173339105322</c:v>
                </c:pt>
                <c:pt idx="300">
                  <c:v>0.83359080609638614</c:v>
                </c:pt>
                <c:pt idx="301">
                  <c:v>0.83080475725381098</c:v>
                </c:pt>
                <c:pt idx="302">
                  <c:v>0.82803346585301718</c:v>
                </c:pt>
                <c:pt idx="303">
                  <c:v>0.82527681224544214</c:v>
                </c:pt>
                <c:pt idx="304">
                  <c:v>0.82253467812466174</c:v>
                </c:pt>
                <c:pt idx="305">
                  <c:v>0.81980694650713115</c:v>
                </c:pt>
                <c:pt idx="306">
                  <c:v>0.81709350171325623</c:v>
                </c:pt>
                <c:pt idx="307">
                  <c:v>0.81439422934880035</c:v>
                </c:pt>
                <c:pt idx="308">
                  <c:v>0.81170901628660896</c:v>
                </c:pt>
                <c:pt idx="309">
                  <c:v>0.80903775064865391</c:v>
                </c:pt>
                <c:pt idx="310">
                  <c:v>0.80638032178838526</c:v>
                </c:pt>
                <c:pt idx="311">
                  <c:v>0.80373662027338877</c:v>
                </c:pt>
                <c:pt idx="312">
                  <c:v>0.80110653786833863</c:v>
                </c:pt>
                <c:pt idx="313">
                  <c:v>0.79848996751824319</c:v>
                </c:pt>
                <c:pt idx="314">
                  <c:v>0.79588680333197626</c:v>
                </c:pt>
                <c:pt idx="315">
                  <c:v>0.79329694056608502</c:v>
                </c:pt>
                <c:pt idx="316">
                  <c:v>0.79072027560887781</c:v>
                </c:pt>
                <c:pt idx="317">
                  <c:v>0.78815670596477472</c:v>
                </c:pt>
                <c:pt idx="318">
                  <c:v>0.785606130238926</c:v>
                </c:pt>
                <c:pt idx="319">
                  <c:v>0.78306844812208609</c:v>
                </c:pt>
                <c:pt idx="320">
                  <c:v>0.78054356037574124</c:v>
                </c:pt>
                <c:pt idx="321">
                  <c:v>0.77803136881748625</c:v>
                </c:pt>
                <c:pt idx="322">
                  <c:v>0.77553177630664172</c:v>
                </c:pt>
                <c:pt idx="323">
                  <c:v>0.77304468673011406</c:v>
                </c:pt>
                <c:pt idx="324">
                  <c:v>0.77057000498848505</c:v>
                </c:pt>
                <c:pt idx="325">
                  <c:v>0.76810763698233253</c:v>
                </c:pt>
                <c:pt idx="326">
                  <c:v>0.76565748959877589</c:v>
                </c:pt>
                <c:pt idx="327">
                  <c:v>0.76321947069824148</c:v>
                </c:pt>
                <c:pt idx="328">
                  <c:v>0.7607934891014444</c:v>
                </c:pt>
                <c:pt idx="329">
                  <c:v>0.7583794545765834</c:v>
                </c:pt>
                <c:pt idx="330">
                  <c:v>0.75597727782674007</c:v>
                </c:pt>
                <c:pt idx="331">
                  <c:v>0.75358687047748762</c:v>
                </c:pt>
                <c:pt idx="332">
                  <c:v>0.75120814506469424</c:v>
                </c:pt>
                <c:pt idx="333">
                  <c:v>0.74884101502252642</c:v>
                </c:pt>
                <c:pt idx="334">
                  <c:v>0.74648539467164332</c:v>
                </c:pt>
                <c:pt idx="335">
                  <c:v>0.74414119920757993</c:v>
                </c:pt>
                <c:pt idx="336">
                  <c:v>0.74180834468931589</c:v>
                </c:pt>
                <c:pt idx="337">
                  <c:v>0.73948674802802739</c:v>
                </c:pt>
                <c:pt idx="338">
                  <c:v>0.73717632697601443</c:v>
                </c:pt>
                <c:pt idx="339">
                  <c:v>0.73487700011580637</c:v>
                </c:pt>
                <c:pt idx="340">
                  <c:v>0.73258868684943834</c:v>
                </c:pt>
                <c:pt idx="341">
                  <c:v>0.73031130738789429</c:v>
                </c:pt>
                <c:pt idx="342">
                  <c:v>0.72804478274071971</c:v>
                </c:pt>
                <c:pt idx="343">
                  <c:v>0.7257890347057927</c:v>
                </c:pt>
                <c:pt idx="344">
                  <c:v>0.72354398585925717</c:v>
                </c:pt>
                <c:pt idx="345">
                  <c:v>0.7213095595456106</c:v>
                </c:pt>
                <c:pt idx="346">
                  <c:v>0.71908567986794858</c:v>
                </c:pt>
                <c:pt idx="347">
                  <c:v>0.71687227167835665</c:v>
                </c:pt>
                <c:pt idx="348">
                  <c:v>0.71466926056845237</c:v>
                </c:pt>
                <c:pt idx="349">
                  <c:v>0.71247657286007238</c:v>
                </c:pt>
                <c:pt idx="350">
                  <c:v>0.71029413559610211</c:v>
                </c:pt>
                <c:pt idx="351">
                  <c:v>0.70812187653144587</c:v>
                </c:pt>
                <c:pt idx="352">
                  <c:v>0.70595972412413521</c:v>
                </c:pt>
                <c:pt idx="353">
                  <c:v>0.70380760752657157</c:v>
                </c:pt>
                <c:pt idx="354">
                  <c:v>0.70166545657690094</c:v>
                </c:pt>
                <c:pt idx="355">
                  <c:v>0.69953320179052214</c:v>
                </c:pt>
                <c:pt idx="356">
                  <c:v>0.69741077435171994</c:v>
                </c:pt>
                <c:pt idx="357">
                  <c:v>0.69529810610542608</c:v>
                </c:pt>
                <c:pt idx="358">
                  <c:v>0.6931951295491009</c:v>
                </c:pt>
                <c:pt idx="359">
                  <c:v>0.69110177782474236</c:v>
                </c:pt>
                <c:pt idx="360">
                  <c:v>0.6890179847110075</c:v>
                </c:pt>
                <c:pt idx="361">
                  <c:v>0.68694368461545485</c:v>
                </c:pt>
                <c:pt idx="362">
                  <c:v>0.68487881256690131</c:v>
                </c:pt>
                <c:pt idx="363">
                  <c:v>0.68282330420789317</c:v>
                </c:pt>
                <c:pt idx="364">
                  <c:v>0.68077709578728551</c:v>
                </c:pt>
                <c:pt idx="365">
                  <c:v>0.67874012415293339</c:v>
                </c:pt>
                <c:pt idx="366">
                  <c:v>0.67671232674448978</c:v>
                </c:pt>
                <c:pt idx="367">
                  <c:v>0.67469364158630818</c:v>
                </c:pt>
                <c:pt idx="368">
                  <c:v>0.67268400728044886</c:v>
                </c:pt>
                <c:pt idx="369">
                  <c:v>0.6706833629997887</c:v>
                </c:pt>
                <c:pt idx="370">
                  <c:v>0.66869164848122931</c:v>
                </c:pt>
                <c:pt idx="371">
                  <c:v>0.66670880401900334</c:v>
                </c:pt>
                <c:pt idx="372">
                  <c:v>0.66473477045807994</c:v>
                </c:pt>
                <c:pt idx="373">
                  <c:v>0.66276948918766188</c:v>
                </c:pt>
                <c:pt idx="374">
                  <c:v>0.66081290213477917</c:v>
                </c:pt>
                <c:pt idx="375">
                  <c:v>0.65886495175797277</c:v>
                </c:pt>
                <c:pt idx="376">
                  <c:v>0.65692558104106957</c:v>
                </c:pt>
                <c:pt idx="377">
                  <c:v>0.65499473348704551</c:v>
                </c:pt>
                <c:pt idx="378">
                  <c:v>0.65307235311197542</c:v>
                </c:pt>
                <c:pt idx="379">
                  <c:v>0.65115838443907126</c:v>
                </c:pt>
                <c:pt idx="380">
                  <c:v>0.64925277249280167</c:v>
                </c:pt>
                <c:pt idx="381">
                  <c:v>0.64735546279309619</c:v>
                </c:pt>
                <c:pt idx="382">
                  <c:v>0.64546640134963151</c:v>
                </c:pt>
                <c:pt idx="383">
                  <c:v>0.64358553465619606</c:v>
                </c:pt>
                <c:pt idx="384">
                  <c:v>0.641712809685136</c:v>
                </c:pt>
                <c:pt idx="385">
                  <c:v>0.63984817388187665</c:v>
                </c:pt>
                <c:pt idx="386">
                  <c:v>0.63799157515952198</c:v>
                </c:pt>
                <c:pt idx="387">
                  <c:v>0.63614296189352815</c:v>
                </c:pt>
                <c:pt idx="388">
                  <c:v>0.63430228291645119</c:v>
                </c:pt>
                <c:pt idx="389">
                  <c:v>0.63246948751276699</c:v>
                </c:pt>
                <c:pt idx="390">
                  <c:v>0.6306445254137647</c:v>
                </c:pt>
                <c:pt idx="391">
                  <c:v>0.62882734679250718</c:v>
                </c:pt>
                <c:pt idx="392">
                  <c:v>0.62701790225886289</c:v>
                </c:pt>
                <c:pt idx="393">
                  <c:v>0.62521614285460625</c:v>
                </c:pt>
                <c:pt idx="394">
                  <c:v>0.62342202004858283</c:v>
                </c:pt>
                <c:pt idx="395">
                  <c:v>0.62163548573194227</c:v>
                </c:pt>
                <c:pt idx="396">
                  <c:v>0.61985649221343553</c:v>
                </c:pt>
                <c:pt idx="397">
                  <c:v>0.61808499221477498</c:v>
                </c:pt>
                <c:pt idx="398">
                  <c:v>0.6163209388660591</c:v>
                </c:pt>
                <c:pt idx="399">
                  <c:v>0.61456428570125732</c:v>
                </c:pt>
                <c:pt idx="400">
                  <c:v>0.61281498665375644</c:v>
                </c:pt>
                <c:pt idx="401">
                  <c:v>0.61107299605196674</c:v>
                </c:pt>
                <c:pt idx="402">
                  <c:v>0.60933826861498597</c:v>
                </c:pt>
                <c:pt idx="403">
                  <c:v>0.6076107594483241</c:v>
                </c:pt>
                <c:pt idx="404">
                  <c:v>0.60589042403968119</c:v>
                </c:pt>
                <c:pt idx="405">
                  <c:v>0.6041772182547851</c:v>
                </c:pt>
                <c:pt idx="406">
                  <c:v>0.60247109833328139</c:v>
                </c:pt>
                <c:pt idx="407">
                  <c:v>0.60077202088467963</c:v>
                </c:pt>
                <c:pt idx="408">
                  <c:v>0.59907994288435318</c:v>
                </c:pt>
                <c:pt idx="409">
                  <c:v>0.59739482166959013</c:v>
                </c:pt>
                <c:pt idx="410">
                  <c:v>0.5957166149356975</c:v>
                </c:pt>
                <c:pt idx="411">
                  <c:v>0.5940452807321559</c:v>
                </c:pt>
                <c:pt idx="412">
                  <c:v>0.592380777458826</c:v>
                </c:pt>
                <c:pt idx="413">
                  <c:v>0.59072306386220141</c:v>
                </c:pt>
                <c:pt idx="414">
                  <c:v>0.5890720990317132</c:v>
                </c:pt>
                <c:pt idx="415">
                  <c:v>0.58742784239608159</c:v>
                </c:pt>
                <c:pt idx="416">
                  <c:v>0.58579025371971372</c:v>
                </c:pt>
                <c:pt idx="417">
                  <c:v>0.58415929309915027</c:v>
                </c:pt>
                <c:pt idx="418">
                  <c:v>0.58253492095955617</c:v>
                </c:pt>
                <c:pt idx="419">
                  <c:v>0.58091709805125635</c:v>
                </c:pt>
                <c:pt idx="420">
                  <c:v>0.57930578544631739</c:v>
                </c:pt>
                <c:pt idx="421">
                  <c:v>0.57770094453517162</c:v>
                </c:pt>
                <c:pt idx="422">
                  <c:v>0.57610253702328518</c:v>
                </c:pt>
                <c:pt idx="423">
                  <c:v>0.57451052492786725</c:v>
                </c:pt>
                <c:pt idx="424">
                  <c:v>0.57292487057462427</c:v>
                </c:pt>
                <c:pt idx="425">
                  <c:v>0.57134553659455101</c:v>
                </c:pt>
                <c:pt idx="426">
                  <c:v>0.56977248592076568</c:v>
                </c:pt>
                <c:pt idx="427">
                  <c:v>0.56820568178538311</c:v>
                </c:pt>
                <c:pt idx="428">
                  <c:v>0.56664508771642841</c:v>
                </c:pt>
                <c:pt idx="429">
                  <c:v>0.56509066753478965</c:v>
                </c:pt>
                <c:pt idx="430">
                  <c:v>0.56354238535120704</c:v>
                </c:pt>
                <c:pt idx="431">
                  <c:v>0.56200020556330155</c:v>
                </c:pt>
                <c:pt idx="432">
                  <c:v>0.56046409285263998</c:v>
                </c:pt>
                <c:pt idx="433">
                  <c:v>0.55893401218183714</c:v>
                </c:pt>
                <c:pt idx="434">
                  <c:v>0.55740992879169227</c:v>
                </c:pt>
                <c:pt idx="435">
                  <c:v>0.55589180819836392</c:v>
                </c:pt>
                <c:pt idx="436">
                  <c:v>0.55437961619057718</c:v>
                </c:pt>
                <c:pt idx="437">
                  <c:v>0.55287331882686674</c:v>
                </c:pt>
                <c:pt idx="438">
                  <c:v>0.55137288243285265</c:v>
                </c:pt>
                <c:pt idx="439">
                  <c:v>0.54987827359855246</c:v>
                </c:pt>
                <c:pt idx="440">
                  <c:v>0.54838945917572279</c:v>
                </c:pt>
                <c:pt idx="441">
                  <c:v>0.54690640627523546</c:v>
                </c:pt>
                <c:pt idx="442">
                  <c:v>0.54542908226448483</c:v>
                </c:pt>
                <c:pt idx="443">
                  <c:v>0.54395745476482815</c:v>
                </c:pt>
                <c:pt idx="444">
                  <c:v>0.54249149164905508</c:v>
                </c:pt>
                <c:pt idx="445">
                  <c:v>0.54103116103889004</c:v>
                </c:pt>
                <c:pt idx="446">
                  <c:v>0.53957643130252164</c:v>
                </c:pt>
                <c:pt idx="447">
                  <c:v>0.53812727105216562</c:v>
                </c:pt>
                <c:pt idx="448">
                  <c:v>0.53668364914165545</c:v>
                </c:pt>
                <c:pt idx="449">
                  <c:v>0.53524553466406044</c:v>
                </c:pt>
                <c:pt idx="450">
                  <c:v>0.53381289694933531</c:v>
                </c:pt>
                <c:pt idx="451">
                  <c:v>0.5323857055619966</c:v>
                </c:pt>
                <c:pt idx="452">
                  <c:v>0.53096393029882571</c:v>
                </c:pt>
                <c:pt idx="453">
                  <c:v>0.5295475411866013</c:v>
                </c:pt>
                <c:pt idx="454">
                  <c:v>0.52813650847985749</c:v>
                </c:pt>
                <c:pt idx="455">
                  <c:v>0.52673080265866867</c:v>
                </c:pt>
                <c:pt idx="456">
                  <c:v>0.52533039442646134</c:v>
                </c:pt>
                <c:pt idx="457">
                  <c:v>0.52393525470785063</c:v>
                </c:pt>
                <c:pt idx="458">
                  <c:v>0.52254535464650365</c:v>
                </c:pt>
                <c:pt idx="459">
                  <c:v>0.52116066560302754</c:v>
                </c:pt>
                <c:pt idx="460">
                  <c:v>0.51978115915288059</c:v>
                </c:pt>
                <c:pt idx="461">
                  <c:v>0.51840680708431208</c:v>
                </c:pt>
                <c:pt idx="462">
                  <c:v>0.51703758139632072</c:v>
                </c:pt>
                <c:pt idx="463">
                  <c:v>0.51567345429664158</c:v>
                </c:pt>
                <c:pt idx="464">
                  <c:v>0.51431439819975366</c:v>
                </c:pt>
                <c:pt idx="465">
                  <c:v>0.51296038572491254</c:v>
                </c:pt>
                <c:pt idx="466">
                  <c:v>0.51161138969420372</c:v>
                </c:pt>
                <c:pt idx="467">
                  <c:v>0.51026738313062026</c:v>
                </c:pt>
                <c:pt idx="468">
                  <c:v>0.50892833925616265</c:v>
                </c:pt>
                <c:pt idx="469">
                  <c:v>0.50759423148995841</c:v>
                </c:pt>
                <c:pt idx="470">
                  <c:v>0.50626503344640661</c:v>
                </c:pt>
                <c:pt idx="471">
                  <c:v>0.50494071893334025</c:v>
                </c:pt>
                <c:pt idx="472">
                  <c:v>0.5036212619502124</c:v>
                </c:pt>
                <c:pt idx="473">
                  <c:v>0.50230663668630171</c:v>
                </c:pt>
                <c:pt idx="474">
                  <c:v>0.50099681751893976</c:v>
                </c:pt>
                <c:pt idx="475">
                  <c:v>0.4996917790117551</c:v>
                </c:pt>
                <c:pt idx="476">
                  <c:v>0.49839149591294224</c:v>
                </c:pt>
                <c:pt idx="477">
                  <c:v>0.4970959431535461</c:v>
                </c:pt>
                <c:pt idx="478">
                  <c:v>0.49580509584576843</c:v>
                </c:pt>
                <c:pt idx="479">
                  <c:v>0.49451892928129143</c:v>
                </c:pt>
                <c:pt idx="480">
                  <c:v>0.49323741892962264</c:v>
                </c:pt>
                <c:pt idx="481">
                  <c:v>0.49196054043645554</c:v>
                </c:pt>
                <c:pt idx="482">
                  <c:v>0.49068826962205092</c:v>
                </c:pt>
                <c:pt idx="483">
                  <c:v>0.48942058247963482</c:v>
                </c:pt>
                <c:pt idx="484">
                  <c:v>0.48815745517381626</c:v>
                </c:pt>
                <c:pt idx="485">
                  <c:v>0.48689886403901955</c:v>
                </c:pt>
                <c:pt idx="486">
                  <c:v>0.48564478557793805</c:v>
                </c:pt>
                <c:pt idx="487">
                  <c:v>0.48439519646000112</c:v>
                </c:pt>
                <c:pt idx="488">
                  <c:v>0.48315007351986072</c:v>
                </c:pt>
                <c:pt idx="489">
                  <c:v>0.48190939375589403</c:v>
                </c:pt>
                <c:pt idx="490">
                  <c:v>0.48067313432872216</c:v>
                </c:pt>
                <c:pt idx="491">
                  <c:v>0.479441272559746</c:v>
                </c:pt>
                <c:pt idx="492">
                  <c:v>0.47821378592969715</c:v>
                </c:pt>
                <c:pt idx="493">
                  <c:v>0.47699065207720576</c:v>
                </c:pt>
                <c:pt idx="494">
                  <c:v>0.47577184879738305</c:v>
                </c:pt>
                <c:pt idx="495">
                  <c:v>0.47455735404042015</c:v>
                </c:pt>
                <c:pt idx="496">
                  <c:v>0.47334714591020322</c:v>
                </c:pt>
                <c:pt idx="497">
                  <c:v>0.47214120266293996</c:v>
                </c:pt>
                <c:pt idx="498">
                  <c:v>0.47093950270580537</c:v>
                </c:pt>
                <c:pt idx="499">
                  <c:v>0.46974202459559944</c:v>
                </c:pt>
                <c:pt idx="500">
                  <c:v>0.46854874703742089</c:v>
                </c:pt>
                <c:pt idx="501">
                  <c:v>0.46735964888335385</c:v>
                </c:pt>
                <c:pt idx="502">
                  <c:v>0.46617470913117004</c:v>
                </c:pt>
                <c:pt idx="503">
                  <c:v>0.46499390692304388</c:v>
                </c:pt>
                <c:pt idx="504">
                  <c:v>0.46381722154428223</c:v>
                </c:pt>
                <c:pt idx="505">
                  <c:v>0.46264463242206694</c:v>
                </c:pt>
                <c:pt idx="506">
                  <c:v>0.46147611912421194</c:v>
                </c:pt>
                <c:pt idx="507">
                  <c:v>0.46031166135793267</c:v>
                </c:pt>
                <c:pt idx="508">
                  <c:v>0.45915123896862775</c:v>
                </c:pt>
                <c:pt idx="509">
                  <c:v>0.45799483193867679</c:v>
                </c:pt>
                <c:pt idx="510">
                  <c:v>0.45684242038624767</c:v>
                </c:pt>
                <c:pt idx="511">
                  <c:v>0.4556939845641178</c:v>
                </c:pt>
                <c:pt idx="512">
                  <c:v>0.45454950485850792</c:v>
                </c:pt>
                <c:pt idx="513">
                  <c:v>0.45340896178792794</c:v>
                </c:pt>
                <c:pt idx="514">
                  <c:v>0.4522723360020357</c:v>
                </c:pt>
                <c:pt idx="515">
                  <c:v>0.45113960828050581</c:v>
                </c:pt>
                <c:pt idx="516">
                  <c:v>0.4500107595319135</c:v>
                </c:pt>
                <c:pt idx="517">
                  <c:v>0.44888577079262626</c:v>
                </c:pt>
                <c:pt idx="518">
                  <c:v>0.44776462322571026</c:v>
                </c:pt>
                <c:pt idx="519">
                  <c:v>0.44664729811984727</c:v>
                </c:pt>
                <c:pt idx="520">
                  <c:v>0.44553377688826229</c:v>
                </c:pt>
                <c:pt idx="521">
                  <c:v>0.44442404106766187</c:v>
                </c:pt>
                <c:pt idx="522">
                  <c:v>0.44331807231718579</c:v>
                </c:pt>
                <c:pt idx="523">
                  <c:v>0.44221585241736716</c:v>
                </c:pt>
                <c:pt idx="524">
                  <c:v>0.44111736326910445</c:v>
                </c:pt>
                <c:pt idx="525">
                  <c:v>0.44002258689264306</c:v>
                </c:pt>
                <c:pt idx="526">
                  <c:v>0.43893150542656945</c:v>
                </c:pt>
                <c:pt idx="527">
                  <c:v>0.43784410112681366</c:v>
                </c:pt>
                <c:pt idx="528">
                  <c:v>0.43676035636566307</c:v>
                </c:pt>
                <c:pt idx="529">
                  <c:v>0.435680253630785</c:v>
                </c:pt>
                <c:pt idx="530">
                  <c:v>0.43460377552426127</c:v>
                </c:pt>
                <c:pt idx="531">
                  <c:v>0.43353090476163192</c:v>
                </c:pt>
                <c:pt idx="532">
                  <c:v>0.43246162417094675</c:v>
                </c:pt>
                <c:pt idx="533">
                  <c:v>0.43139591669182953</c:v>
                </c:pt>
                <c:pt idx="534">
                  <c:v>0.43033376537454959</c:v>
                </c:pt>
                <c:pt idx="535">
                  <c:v>0.42927515337910388</c:v>
                </c:pt>
                <c:pt idx="536">
                  <c:v>0.4282200639743079</c:v>
                </c:pt>
                <c:pt idx="537">
                  <c:v>0.42716848053689493</c:v>
                </c:pt>
                <c:pt idx="538">
                  <c:v>0.42612038655062695</c:v>
                </c:pt>
                <c:pt idx="539">
                  <c:v>0.42507576560541122</c:v>
                </c:pt>
                <c:pt idx="540">
                  <c:v>0.42403460139642812</c:v>
                </c:pt>
                <c:pt idx="541">
                  <c:v>0.42299687772326694</c:v>
                </c:pt>
                <c:pt idx="542">
                  <c:v>0.42196257848906971</c:v>
                </c:pt>
                <c:pt idx="543">
                  <c:v>0.42093168769968475</c:v>
                </c:pt>
                <c:pt idx="544">
                  <c:v>0.41990418946282798</c:v>
                </c:pt>
                <c:pt idx="545">
                  <c:v>0.41888006798725197</c:v>
                </c:pt>
                <c:pt idx="546">
                  <c:v>0.41785930758192491</c:v>
                </c:pt>
                <c:pt idx="547">
                  <c:v>0.41684189265521643</c:v>
                </c:pt>
                <c:pt idx="548">
                  <c:v>0.41582780771409161</c:v>
                </c:pt>
                <c:pt idx="549">
                  <c:v>0.4148170373633131</c:v>
                </c:pt>
                <c:pt idx="550">
                  <c:v>0.41380956630465138</c:v>
                </c:pt>
                <c:pt idx="551">
                  <c:v>0.41280537933610195</c:v>
                </c:pt>
                <c:pt idx="552">
                  <c:v>0.41180446135111226</c:v>
                </c:pt>
                <c:pt idx="553">
                  <c:v>0.41080679733781245</c:v>
                </c:pt>
                <c:pt idx="554">
                  <c:v>0.40981237237825835</c:v>
                </c:pt>
                <c:pt idx="555">
                  <c:v>0.40882117164767834</c:v>
                </c:pt>
                <c:pt idx="556">
                  <c:v>0.40783318041372801</c:v>
                </c:pt>
                <c:pt idx="557">
                  <c:v>0.40684838403575435</c:v>
                </c:pt>
                <c:pt idx="558">
                  <c:v>0.40586676796406412</c:v>
                </c:pt>
                <c:pt idx="559">
                  <c:v>0.40488831773920131</c:v>
                </c:pt>
                <c:pt idx="560">
                  <c:v>0.40391301899123105</c:v>
                </c:pt>
                <c:pt idx="561">
                  <c:v>0.40294085743903058</c:v>
                </c:pt>
                <c:pt idx="562">
                  <c:v>0.40197181888958594</c:v>
                </c:pt>
                <c:pt idx="563">
                  <c:v>0.40100588923729757</c:v>
                </c:pt>
                <c:pt idx="564">
                  <c:v>0.40004305446329053</c:v>
                </c:pt>
                <c:pt idx="565">
                  <c:v>0.39908330063473246</c:v>
                </c:pt>
                <c:pt idx="566">
                  <c:v>0.39812661390415793</c:v>
                </c:pt>
                <c:pt idx="567">
                  <c:v>0.39717298050879912</c:v>
                </c:pt>
                <c:pt idx="568">
                  <c:v>0.39622238676992294</c:v>
                </c:pt>
                <c:pt idx="569">
                  <c:v>0.39527481909217421</c:v>
                </c:pt>
                <c:pt idx="570">
                  <c:v>0.39433026396292553</c:v>
                </c:pt>
                <c:pt idx="571">
                  <c:v>0.39338870795163344</c:v>
                </c:pt>
                <c:pt idx="572">
                  <c:v>0.39245013770920018</c:v>
                </c:pt>
                <c:pt idx="573">
                  <c:v>0.39151453996734092</c:v>
                </c:pt>
                <c:pt idx="574">
                  <c:v>0.39058190153795896</c:v>
                </c:pt>
                <c:pt idx="575">
                  <c:v>0.38965220931252514</c:v>
                </c:pt>
                <c:pt idx="576">
                  <c:v>0.38872545026146338</c:v>
                </c:pt>
                <c:pt idx="577">
                  <c:v>0.38780161143354264</c:v>
                </c:pt>
                <c:pt idx="578">
                  <c:v>0.38688067995527359</c:v>
                </c:pt>
                <c:pt idx="579">
                  <c:v>0.38596264303031214</c:v>
                </c:pt>
                <c:pt idx="580">
                  <c:v>0.38504748793886739</c:v>
                </c:pt>
                <c:pt idx="581">
                  <c:v>0.38413520203711582</c:v>
                </c:pt>
                <c:pt idx="582">
                  <c:v>0.38322577275662095</c:v>
                </c:pt>
                <c:pt idx="583">
                  <c:v>0.38231918760375766</c:v>
                </c:pt>
                <c:pt idx="584">
                  <c:v>0.38141543415914314</c:v>
                </c:pt>
                <c:pt idx="585">
                  <c:v>0.38051450007707222</c:v>
                </c:pt>
                <c:pt idx="586">
                  <c:v>0.37961637308495749</c:v>
                </c:pt>
                <c:pt idx="587">
                  <c:v>0.37872104098277604</c:v>
                </c:pt>
                <c:pt idx="588">
                  <c:v>0.37782849164251975</c:v>
                </c:pt>
                <c:pt idx="589">
                  <c:v>0.3769387130076523</c:v>
                </c:pt>
                <c:pt idx="590">
                  <c:v>0.37605169309256908</c:v>
                </c:pt>
                <c:pt idx="591">
                  <c:v>0.37516741998206471</c:v>
                </c:pt>
                <c:pt idx="592">
                  <c:v>0.37428588183080219</c:v>
                </c:pt>
                <c:pt idx="593">
                  <c:v>0.37340706686279063</c:v>
                </c:pt>
                <c:pt idx="594">
                  <c:v>0.37253096337086411</c:v>
                </c:pt>
                <c:pt idx="595">
                  <c:v>0.37165755971616848</c:v>
                </c:pt>
                <c:pt idx="596">
                  <c:v>0.37078684432764997</c:v>
                </c:pt>
                <c:pt idx="597">
                  <c:v>0.36991880570155122</c:v>
                </c:pt>
                <c:pt idx="598">
                  <c:v>0.36905343240090938</c:v>
                </c:pt>
                <c:pt idx="599">
                  <c:v>0.36819071305506074</c:v>
                </c:pt>
                <c:pt idx="600">
                  <c:v>0.36733063635914848</c:v>
                </c:pt>
                <c:pt idx="601">
                  <c:v>0.36647319107363557</c:v>
                </c:pt>
                <c:pt idx="602">
                  <c:v>0.36561836602382208</c:v>
                </c:pt>
                <c:pt idx="603">
                  <c:v>0.36476615009936636</c:v>
                </c:pt>
                <c:pt idx="604">
                  <c:v>0.36391653225381071</c:v>
                </c:pt>
                <c:pt idx="605">
                  <c:v>0.36306950150411221</c:v>
                </c:pt>
                <c:pt idx="606">
                  <c:v>0.36222504693017593</c:v>
                </c:pt>
                <c:pt idx="607">
                  <c:v>0.36138315767439388</c:v>
                </c:pt>
                <c:pt idx="608">
                  <c:v>0.36054382294118775</c:v>
                </c:pt>
                <c:pt idx="609">
                  <c:v>0.35970703199655524</c:v>
                </c:pt>
                <c:pt idx="610">
                  <c:v>0.35887277416762048</c:v>
                </c:pt>
                <c:pt idx="611">
                  <c:v>0.3580410388421893</c:v>
                </c:pt>
                <c:pt idx="612">
                  <c:v>0.35721181546830733</c:v>
                </c:pt>
                <c:pt idx="613">
                  <c:v>0.35638509355382281</c:v>
                </c:pt>
                <c:pt idx="614">
                  <c:v>0.35556086266595277</c:v>
                </c:pt>
                <c:pt idx="615">
                  <c:v>0.35473911243085376</c:v>
                </c:pt>
                <c:pt idx="616">
                  <c:v>0.35391983253319531</c:v>
                </c:pt>
                <c:pt idx="617">
                  <c:v>0.3531030127157378</c:v>
                </c:pt>
                <c:pt idx="618">
                  <c:v>0.35228864277891409</c:v>
                </c:pt>
                <c:pt idx="619">
                  <c:v>0.35147671258041474</c:v>
                </c:pt>
                <c:pt idx="620">
                  <c:v>0.35066721203477658</c:v>
                </c:pt>
                <c:pt idx="621">
                  <c:v>0.34986013111297537</c:v>
                </c:pt>
                <c:pt idx="622">
                  <c:v>0.34905545984202169</c:v>
                </c:pt>
                <c:pt idx="623">
                  <c:v>0.3482531883045602</c:v>
                </c:pt>
                <c:pt idx="624">
                  <c:v>0.34745330663847274</c:v>
                </c:pt>
                <c:pt idx="625">
                  <c:v>0.34665580503648508</c:v>
                </c:pt>
                <c:pt idx="626">
                  <c:v>0.34586067374577628</c:v>
                </c:pt>
                <c:pt idx="627">
                  <c:v>0.34506790306759205</c:v>
                </c:pt>
                <c:pt idx="628">
                  <c:v>0.3442774833568617</c:v>
                </c:pt>
                <c:pt idx="629">
                  <c:v>0.34348940502181746</c:v>
                </c:pt>
                <c:pt idx="630">
                  <c:v>0.34270365852361812</c:v>
                </c:pt>
                <c:pt idx="631">
                  <c:v>0.34192023437597502</c:v>
                </c:pt>
                <c:pt idx="632">
                  <c:v>0.34113912314478229</c:v>
                </c:pt>
                <c:pt idx="633">
                  <c:v>0.34036031544774892</c:v>
                </c:pt>
                <c:pt idx="634">
                  <c:v>0.33958380195403542</c:v>
                </c:pt>
                <c:pt idx="635">
                  <c:v>0.33880957338389217</c:v>
                </c:pt>
                <c:pt idx="636">
                  <c:v>0.33803762050830244</c:v>
                </c:pt>
                <c:pt idx="637">
                  <c:v>0.33726793414862694</c:v>
                </c:pt>
                <c:pt idx="638">
                  <c:v>0.33650050517625213</c:v>
                </c:pt>
                <c:pt idx="639">
                  <c:v>0.33573532451224192</c:v>
                </c:pt>
                <c:pt idx="640">
                  <c:v>0.33497238312699157</c:v>
                </c:pt>
                <c:pt idx="641">
                  <c:v>0.33421167203988472</c:v>
                </c:pt>
                <c:pt idx="642">
                  <c:v>0.33345318231895338</c:v>
                </c:pt>
                <c:pt idx="643">
                  <c:v>0.33269690508054095</c:v>
                </c:pt>
                <c:pt idx="644">
                  <c:v>0.3319428314889683</c:v>
                </c:pt>
                <c:pt idx="645">
                  <c:v>0.33119095275620214</c:v>
                </c:pt>
                <c:pt idx="646">
                  <c:v>0.33044126014152592</c:v>
                </c:pt>
                <c:pt idx="647">
                  <c:v>0.3296937449512149</c:v>
                </c:pt>
                <c:pt idx="648">
                  <c:v>0.32894839853821228</c:v>
                </c:pt>
                <c:pt idx="649">
                  <c:v>0.32820521230180855</c:v>
                </c:pt>
                <c:pt idx="650">
                  <c:v>0.32746417768732483</c:v>
                </c:pt>
                <c:pt idx="651">
                  <c:v>0.3267252861857971</c:v>
                </c:pt>
                <c:pt idx="652">
                  <c:v>0.3259885293336634</c:v>
                </c:pt>
                <c:pt idx="653">
                  <c:v>0.32525389871245475</c:v>
                </c:pt>
                <c:pt idx="654">
                  <c:v>0.32452138594848728</c:v>
                </c:pt>
                <c:pt idx="655">
                  <c:v>0.32379098271255763</c:v>
                </c:pt>
                <c:pt idx="656">
                  <c:v>0.32306268071964139</c:v>
                </c:pt>
                <c:pt idx="657">
                  <c:v>0.32233647172859192</c:v>
                </c:pt>
                <c:pt idx="658">
                  <c:v>0.32161234754184509</c:v>
                </c:pt>
                <c:pt idx="659">
                  <c:v>0.32089030000512297</c:v>
                </c:pt>
                <c:pt idx="660">
                  <c:v>0.32017032100714193</c:v>
                </c:pt>
                <c:pt idx="661">
                  <c:v>0.31945240247932311</c:v>
                </c:pt>
                <c:pt idx="662">
                  <c:v>0.3187365363955047</c:v>
                </c:pt>
                <c:pt idx="663">
                  <c:v>0.31802271477165622</c:v>
                </c:pt>
                <c:pt idx="664">
                  <c:v>0.31731092966559643</c:v>
                </c:pt>
                <c:pt idx="665">
                  <c:v>0.31660117317671221</c:v>
                </c:pt>
                <c:pt idx="666">
                  <c:v>0.31589343744568105</c:v>
                </c:pt>
                <c:pt idx="667">
                  <c:v>0.31518771465419404</c:v>
                </c:pt>
                <c:pt idx="668">
                  <c:v>0.31448399702468299</c:v>
                </c:pt>
                <c:pt idx="669">
                  <c:v>0.31378227682004883</c:v>
                </c:pt>
                <c:pt idx="670">
                  <c:v>0.31308254634339211</c:v>
                </c:pt>
                <c:pt idx="671">
                  <c:v>0.31238479793774576</c:v>
                </c:pt>
                <c:pt idx="672">
                  <c:v>0.31168902398581066</c:v>
                </c:pt>
                <c:pt idx="673">
                  <c:v>0.31099521690969228</c:v>
                </c:pt>
                <c:pt idx="674">
                  <c:v>0.31030336917064016</c:v>
                </c:pt>
                <c:pt idx="675">
                  <c:v>0.30961347326878996</c:v>
                </c:pt>
                <c:pt idx="676">
                  <c:v>0.308925521742906</c:v>
                </c:pt>
                <c:pt idx="677">
                  <c:v>0.30823950717012721</c:v>
                </c:pt>
                <c:pt idx="678">
                  <c:v>0.30755542216571508</c:v>
                </c:pt>
                <c:pt idx="679">
                  <c:v>0.30687325938280291</c:v>
                </c:pt>
                <c:pt idx="680">
                  <c:v>0.30619301151214784</c:v>
                </c:pt>
                <c:pt idx="681">
                  <c:v>0.30551467128188403</c:v>
                </c:pt>
                <c:pt idx="682">
                  <c:v>0.30483823145727817</c:v>
                </c:pt>
                <c:pt idx="683">
                  <c:v>0.30416368484048767</c:v>
                </c:pt>
                <c:pt idx="684">
                  <c:v>0.30349102427031971</c:v>
                </c:pt>
                <c:pt idx="685">
                  <c:v>0.30282024262199275</c:v>
                </c:pt>
                <c:pt idx="686">
                  <c:v>0.30215133280689943</c:v>
                </c:pt>
                <c:pt idx="687">
                  <c:v>0.30148428777237213</c:v>
                </c:pt>
                <c:pt idx="688">
                  <c:v>0.30081910050145022</c:v>
                </c:pt>
                <c:pt idx="689">
                  <c:v>0.30015576401264782</c:v>
                </c:pt>
                <c:pt idx="690">
                  <c:v>0.29949427135972612</c:v>
                </c:pt>
                <c:pt idx="691">
                  <c:v>0.29883461563146457</c:v>
                </c:pt>
                <c:pt idx="692">
                  <c:v>0.29817678995143554</c:v>
                </c:pt>
                <c:pt idx="693">
                  <c:v>0.29752078747778049</c:v>
                </c:pt>
                <c:pt idx="694">
                  <c:v>0.29686660140298782</c:v>
                </c:pt>
                <c:pt idx="695">
                  <c:v>0.29621422495367217</c:v>
                </c:pt>
                <c:pt idx="696">
                  <c:v>0.29556365139035568</c:v>
                </c:pt>
                <c:pt idx="697">
                  <c:v>0.29491487400725103</c:v>
                </c:pt>
                <c:pt idx="698">
                  <c:v>0.2942678861320468</c:v>
                </c:pt>
                <c:pt idx="699">
                  <c:v>0.29362268112569251</c:v>
                </c:pt>
                <c:pt idx="700">
                  <c:v>0.2929792523821878</c:v>
                </c:pt>
                <c:pt idx="701">
                  <c:v>0.2923375933283715</c:v>
                </c:pt>
                <c:pt idx="702">
                  <c:v>0.29169769742371299</c:v>
                </c:pt>
                <c:pt idx="703">
                  <c:v>0.29105955816010504</c:v>
                </c:pt>
                <c:pt idx="704">
                  <c:v>0.29042316906165916</c:v>
                </c:pt>
                <c:pt idx="705">
                  <c:v>0.28978852368450014</c:v>
                </c:pt>
                <c:pt idx="706">
                  <c:v>0.28915561561656528</c:v>
                </c:pt>
                <c:pt idx="707">
                  <c:v>0.28852443847740261</c:v>
                </c:pt>
                <c:pt idx="708">
                  <c:v>0.28789498591797213</c:v>
                </c:pt>
                <c:pt idx="709">
                  <c:v>0.28726725162044792</c:v>
                </c:pt>
                <c:pt idx="710">
                  <c:v>0.28664122929802205</c:v>
                </c:pt>
                <c:pt idx="711">
                  <c:v>0.28601691269470997</c:v>
                </c:pt>
                <c:pt idx="712">
                  <c:v>0.28539429558515717</c:v>
                </c:pt>
                <c:pt idx="713">
                  <c:v>0.28477337177444756</c:v>
                </c:pt>
                <c:pt idx="714">
                  <c:v>0.28415413509791349</c:v>
                </c:pt>
                <c:pt idx="715">
                  <c:v>0.28353657942094657</c:v>
                </c:pt>
                <c:pt idx="716">
                  <c:v>0.28292069863881003</c:v>
                </c:pt>
                <c:pt idx="717">
                  <c:v>0.28230648667645397</c:v>
                </c:pt>
                <c:pt idx="718">
                  <c:v>0.28169393748832944</c:v>
                </c:pt>
                <c:pt idx="719">
                  <c:v>0.28108304505820647</c:v>
                </c:pt>
                <c:pt idx="720">
                  <c:v>0.28047380339899136</c:v>
                </c:pt>
                <c:pt idx="721">
                  <c:v>0.27986620655254729</c:v>
                </c:pt>
                <c:pt idx="722">
                  <c:v>0.27926024858951443</c:v>
                </c:pt>
                <c:pt idx="723">
                  <c:v>0.27865592360913277</c:v>
                </c:pt>
                <c:pt idx="724">
                  <c:v>0.27805322573906571</c:v>
                </c:pt>
                <c:pt idx="725">
                  <c:v>0.27745214913522515</c:v>
                </c:pt>
                <c:pt idx="726">
                  <c:v>0.27685268798159751</c:v>
                </c:pt>
                <c:pt idx="727">
                  <c:v>0.27625483649007171</c:v>
                </c:pt>
                <c:pt idx="728">
                  <c:v>0.27565858890026818</c:v>
                </c:pt>
                <c:pt idx="729">
                  <c:v>0.27506393947936858</c:v>
                </c:pt>
                <c:pt idx="730">
                  <c:v>0.27447088252194735</c:v>
                </c:pt>
                <c:pt idx="731">
                  <c:v>0.2738794123498049</c:v>
                </c:pt>
                <c:pt idx="732">
                  <c:v>0.27328952331180145</c:v>
                </c:pt>
                <c:pt idx="733">
                  <c:v>0.2727012097836915</c:v>
                </c:pt>
                <c:pt idx="734">
                  <c:v>0.27211446616796109</c:v>
                </c:pt>
                <c:pt idx="735">
                  <c:v>0.2715292868936654</c:v>
                </c:pt>
                <c:pt idx="736">
                  <c:v>0.27094566641626688</c:v>
                </c:pt>
                <c:pt idx="737">
                  <c:v>0.27036359921747605</c:v>
                </c:pt>
                <c:pt idx="738">
                  <c:v>0.26978307980509225</c:v>
                </c:pt>
                <c:pt idx="739">
                  <c:v>0.26920410271284634</c:v>
                </c:pt>
                <c:pt idx="740">
                  <c:v>0.26862666250024403</c:v>
                </c:pt>
                <c:pt idx="741">
                  <c:v>0.26805075375241044</c:v>
                </c:pt>
                <c:pt idx="742">
                  <c:v>0.26747637107993649</c:v>
                </c:pt>
                <c:pt idx="743">
                  <c:v>0.26690350911872524</c:v>
                </c:pt>
                <c:pt idx="744">
                  <c:v>0.26633216252984021</c:v>
                </c:pt>
                <c:pt idx="745">
                  <c:v>0.26576232599935495</c:v>
                </c:pt>
                <c:pt idx="746">
                  <c:v>0.26519399423820272</c:v>
                </c:pt>
                <c:pt idx="747">
                  <c:v>0.2646271619820284</c:v>
                </c:pt>
                <c:pt idx="748">
                  <c:v>0.2640618239910405</c:v>
                </c:pt>
                <c:pt idx="749">
                  <c:v>0.26349797504986511</c:v>
                </c:pt>
                <c:pt idx="750">
                  <c:v>0.26293560996740056</c:v>
                </c:pt>
                <c:pt idx="751">
                  <c:v>0.26237472357667269</c:v>
                </c:pt>
                <c:pt idx="752">
                  <c:v>0.26181531073469178</c:v>
                </c:pt>
                <c:pt idx="753">
                  <c:v>0.26125736632231039</c:v>
                </c:pt>
                <c:pt idx="754">
                  <c:v>0.26070088524408208</c:v>
                </c:pt>
                <c:pt idx="755">
                  <c:v>0.26014586242812127</c:v>
                </c:pt>
                <c:pt idx="756">
                  <c:v>0.2595922928259638</c:v>
                </c:pt>
                <c:pt idx="757">
                  <c:v>0.2590401714124293</c:v>
                </c:pt>
                <c:pt idx="758">
                  <c:v>0.25848949318548337</c:v>
                </c:pt>
                <c:pt idx="759">
                  <c:v>0.25794025316610164</c:v>
                </c:pt>
                <c:pt idx="760">
                  <c:v>0.25739244639813513</c:v>
                </c:pt>
                <c:pt idx="761">
                  <c:v>0.25684606794817472</c:v>
                </c:pt>
                <c:pt idx="762">
                  <c:v>0.25630111290541863</c:v>
                </c:pt>
                <c:pt idx="763">
                  <c:v>0.25575757638154051</c:v>
                </c:pt>
                <c:pt idx="764">
                  <c:v>0.25521545351055752</c:v>
                </c:pt>
                <c:pt idx="765">
                  <c:v>0.25467473944869934</c:v>
                </c:pt>
                <c:pt idx="766">
                  <c:v>0.25413542937427996</c:v>
                </c:pt>
                <c:pt idx="767">
                  <c:v>0.25359751848756801</c:v>
                </c:pt>
                <c:pt idx="768">
                  <c:v>0.25306100201065929</c:v>
                </c:pt>
                <c:pt idx="769">
                  <c:v>0.25252587518735026</c:v>
                </c:pt>
                <c:pt idx="770">
                  <c:v>0.25199213328301157</c:v>
                </c:pt>
                <c:pt idx="771">
                  <c:v>0.25145977158446403</c:v>
                </c:pt>
                <c:pt idx="772">
                  <c:v>0.25092878539985369</c:v>
                </c:pt>
                <c:pt idx="773">
                  <c:v>0.25039917005852863</c:v>
                </c:pt>
                <c:pt idx="774">
                  <c:v>0.24987092091091717</c:v>
                </c:pt>
                <c:pt idx="775">
                  <c:v>0.24934403332840582</c:v>
                </c:pt>
                <c:pt idx="776">
                  <c:v>0.24881850270321859</c:v>
                </c:pt>
                <c:pt idx="777">
                  <c:v>0.24829432444829777</c:v>
                </c:pt>
                <c:pt idx="778">
                  <c:v>0.24777149399718423</c:v>
                </c:pt>
                <c:pt idx="779">
                  <c:v>0.24725000680389958</c:v>
                </c:pt>
                <c:pt idx="780">
                  <c:v>0.24672985834282934</c:v>
                </c:pt>
                <c:pt idx="781">
                  <c:v>0.24621104410860561</c:v>
                </c:pt>
                <c:pt idx="782">
                  <c:v>0.24569355961599204</c:v>
                </c:pt>
                <c:pt idx="783">
                  <c:v>0.24517740039976843</c:v>
                </c:pt>
                <c:pt idx="784">
                  <c:v>0.24466256201461722</c:v>
                </c:pt>
                <c:pt idx="785">
                  <c:v>0.24414904003500981</c:v>
                </c:pt>
                <c:pt idx="786">
                  <c:v>0.24363683005509421</c:v>
                </c:pt>
                <c:pt idx="787">
                  <c:v>0.24312592768858321</c:v>
                </c:pt>
                <c:pt idx="788">
                  <c:v>0.24261632856864368</c:v>
                </c:pt>
                <c:pt idx="789">
                  <c:v>0.24210802834778647</c:v>
                </c:pt>
                <c:pt idx="790">
                  <c:v>0.24160102269775616</c:v>
                </c:pt>
                <c:pt idx="791">
                  <c:v>0.24109530730942363</c:v>
                </c:pt>
                <c:pt idx="792">
                  <c:v>0.24059087789267722</c:v>
                </c:pt>
                <c:pt idx="793">
                  <c:v>0.24008773017631613</c:v>
                </c:pt>
                <c:pt idx="794">
                  <c:v>0.23958585990794343</c:v>
                </c:pt>
                <c:pt idx="795">
                  <c:v>0.23908526285386114</c:v>
                </c:pt>
                <c:pt idx="796">
                  <c:v>0.23858593479896439</c:v>
                </c:pt>
                <c:pt idx="797">
                  <c:v>0.23808787154663785</c:v>
                </c:pt>
                <c:pt idx="798">
                  <c:v>0.23759106891865187</c:v>
                </c:pt>
                <c:pt idx="799">
                  <c:v>0.23709552275505971</c:v>
                </c:pt>
                <c:pt idx="800">
                  <c:v>0.23660122891409532</c:v>
                </c:pt>
                <c:pt idx="801">
                  <c:v>0.23610818327207198</c:v>
                </c:pt>
                <c:pt idx="802">
                  <c:v>0.23561638172328186</c:v>
                </c:pt>
                <c:pt idx="803">
                  <c:v>0.23512582017989508</c:v>
                </c:pt>
                <c:pt idx="804">
                  <c:v>0.23463649457186131</c:v>
                </c:pt>
                <c:pt idx="805">
                  <c:v>0.23414840084681068</c:v>
                </c:pt>
                <c:pt idx="806">
                  <c:v>0.23366153496995576</c:v>
                </c:pt>
                <c:pt idx="807">
                  <c:v>0.23317589292399366</c:v>
                </c:pt>
                <c:pt idx="808">
                  <c:v>0.23269147070901033</c:v>
                </c:pt>
                <c:pt idx="809">
                  <c:v>0.23220826434238365</c:v>
                </c:pt>
                <c:pt idx="810">
                  <c:v>0.23172626985868877</c:v>
                </c:pt>
                <c:pt idx="811">
                  <c:v>0.23124548330960218</c:v>
                </c:pt>
                <c:pt idx="812">
                  <c:v>0.23076590076380871</c:v>
                </c:pt>
                <c:pt idx="813">
                  <c:v>0.23028751830690758</c:v>
                </c:pt>
                <c:pt idx="814">
                  <c:v>0.22981033204131923</c:v>
                </c:pt>
                <c:pt idx="815">
                  <c:v>0.22933433808619375</c:v>
                </c:pt>
                <c:pt idx="816">
                  <c:v>0.22885953257731873</c:v>
                </c:pt>
                <c:pt idx="817">
                  <c:v>0.22838591166702796</c:v>
                </c:pt>
                <c:pt idx="818">
                  <c:v>0.22791347152411198</c:v>
                </c:pt>
                <c:pt idx="819">
                  <c:v>0.22744220833372758</c:v>
                </c:pt>
                <c:pt idx="820">
                  <c:v>0.22697211829730823</c:v>
                </c:pt>
                <c:pt idx="821">
                  <c:v>0.22650319763247651</c:v>
                </c:pt>
                <c:pt idx="822">
                  <c:v>0.22603544257295474</c:v>
                </c:pt>
                <c:pt idx="823">
                  <c:v>0.2255688493684791</c:v>
                </c:pt>
                <c:pt idx="824">
                  <c:v>0.22510341428471101</c:v>
                </c:pt>
                <c:pt idx="825">
                  <c:v>0.22463913360315255</c:v>
                </c:pt>
                <c:pt idx="826">
                  <c:v>0.22417600362105958</c:v>
                </c:pt>
                <c:pt idx="827">
                  <c:v>0.22371402065135684</c:v>
                </c:pt>
                <c:pt idx="828">
                  <c:v>0.22325318102255332</c:v>
                </c:pt>
                <c:pt idx="829">
                  <c:v>0.22279348107865854</c:v>
                </c:pt>
                <c:pt idx="830">
                  <c:v>0.22233491717909873</c:v>
                </c:pt>
                <c:pt idx="831">
                  <c:v>0.22187748569863419</c:v>
                </c:pt>
                <c:pt idx="832">
                  <c:v>0.22142118302727612</c:v>
                </c:pt>
                <c:pt idx="833">
                  <c:v>0.2209660055702061</c:v>
                </c:pt>
                <c:pt idx="834">
                  <c:v>0.22051194974769345</c:v>
                </c:pt>
                <c:pt idx="835">
                  <c:v>0.22005901199501515</c:v>
                </c:pt>
                <c:pt idx="836">
                  <c:v>0.21960718876237534</c:v>
                </c:pt>
                <c:pt idx="837">
                  <c:v>0.2191564765148262</c:v>
                </c:pt>
                <c:pt idx="838">
                  <c:v>0.21870687173218731</c:v>
                </c:pt>
                <c:pt idx="839">
                  <c:v>0.21825837090896844</c:v>
                </c:pt>
                <c:pt idx="840">
                  <c:v>0.21781097055429066</c:v>
                </c:pt>
                <c:pt idx="841">
                  <c:v>0.2173646671918085</c:v>
                </c:pt>
                <c:pt idx="842">
                  <c:v>0.21691945735963325</c:v>
                </c:pt>
                <c:pt idx="843">
                  <c:v>0.21647533761025592</c:v>
                </c:pt>
                <c:pt idx="844">
                  <c:v>0.21603230451047142</c:v>
                </c:pt>
                <c:pt idx="845">
                  <c:v>0.21559035464130236</c:v>
                </c:pt>
                <c:pt idx="846">
                  <c:v>0.21514948459792435</c:v>
                </c:pt>
                <c:pt idx="847">
                  <c:v>0.21470969098959081</c:v>
                </c:pt>
                <c:pt idx="848">
                  <c:v>0.21427097043955906</c:v>
                </c:pt>
                <c:pt idx="849">
                  <c:v>0.21383331958501645</c:v>
                </c:pt>
                <c:pt idx="850">
                  <c:v>0.21339673507700735</c:v>
                </c:pt>
                <c:pt idx="851">
                  <c:v>0.21296121358035963</c:v>
                </c:pt>
                <c:pt idx="852">
                  <c:v>0.21252675177361335</c:v>
                </c:pt>
                <c:pt idx="853">
                  <c:v>0.21209334634894797</c:v>
                </c:pt>
                <c:pt idx="854">
                  <c:v>0.21166099401211111</c:v>
                </c:pt>
                <c:pt idx="855">
                  <c:v>0.21122969148234799</c:v>
                </c:pt>
                <c:pt idx="856">
                  <c:v>0.21079943549233074</c:v>
                </c:pt>
                <c:pt idx="857">
                  <c:v>0.21037022278808798</c:v>
                </c:pt>
                <c:pt idx="858">
                  <c:v>0.20994205012893535</c:v>
                </c:pt>
                <c:pt idx="859">
                  <c:v>0.20951491428740701</c:v>
                </c:pt>
                <c:pt idx="860">
                  <c:v>0.20908881204918575</c:v>
                </c:pt>
                <c:pt idx="861">
                  <c:v>0.20866374021303574</c:v>
                </c:pt>
                <c:pt idx="862">
                  <c:v>0.2082396955907341</c:v>
                </c:pt>
                <c:pt idx="863">
                  <c:v>0.20781667500700318</c:v>
                </c:pt>
                <c:pt idx="864">
                  <c:v>0.20739467529944441</c:v>
                </c:pt>
                <c:pt idx="865">
                  <c:v>0.20697369331847118</c:v>
                </c:pt>
                <c:pt idx="866">
                  <c:v>0.20655372592724253</c:v>
                </c:pt>
                <c:pt idx="867">
                  <c:v>0.20613477000159761</c:v>
                </c:pt>
                <c:pt idx="868">
                  <c:v>0.20571682242999045</c:v>
                </c:pt>
                <c:pt idx="869">
                  <c:v>0.20529988011342515</c:v>
                </c:pt>
                <c:pt idx="870">
                  <c:v>0.20488393996539073</c:v>
                </c:pt>
                <c:pt idx="871">
                  <c:v>0.2044689989117974</c:v>
                </c:pt>
                <c:pt idx="872">
                  <c:v>0.2040550538909133</c:v>
                </c:pt>
                <c:pt idx="873">
                  <c:v>0.20364210185330048</c:v>
                </c:pt>
                <c:pt idx="874">
                  <c:v>0.20323013976175192</c:v>
                </c:pt>
                <c:pt idx="875">
                  <c:v>0.20281916459122998</c:v>
                </c:pt>
                <c:pt idx="876">
                  <c:v>0.20240917332880326</c:v>
                </c:pt>
                <c:pt idx="877">
                  <c:v>0.20200016297358522</c:v>
                </c:pt>
                <c:pt idx="878">
                  <c:v>0.20159213053667285</c:v>
                </c:pt>
                <c:pt idx="879">
                  <c:v>0.20118507304108554</c:v>
                </c:pt>
                <c:pt idx="880">
                  <c:v>0.20077898752170484</c:v>
                </c:pt>
                <c:pt idx="881">
                  <c:v>0.20037387102521403</c:v>
                </c:pt>
                <c:pt idx="882">
                  <c:v>0.19996972061003782</c:v>
                </c:pt>
                <c:pt idx="883">
                  <c:v>0.19956653334628366</c:v>
                </c:pt>
                <c:pt idx="884">
                  <c:v>0.19916430631568183</c:v>
                </c:pt>
                <c:pt idx="885">
                  <c:v>0.19876303661152731</c:v>
                </c:pt>
                <c:pt idx="886">
                  <c:v>0.19836272133862148</c:v>
                </c:pt>
                <c:pt idx="887">
                  <c:v>0.19796335761321304</c:v>
                </c:pt>
                <c:pt idx="888">
                  <c:v>0.19756494256294183</c:v>
                </c:pt>
                <c:pt idx="889">
                  <c:v>0.19716747332678039</c:v>
                </c:pt>
                <c:pt idx="890">
                  <c:v>0.1967709470549775</c:v>
                </c:pt>
                <c:pt idx="891">
                  <c:v>0.19637536090900135</c:v>
                </c:pt>
                <c:pt idx="892">
                  <c:v>0.19598071206148318</c:v>
                </c:pt>
                <c:pt idx="893">
                  <c:v>0.19558699769616186</c:v>
                </c:pt>
                <c:pt idx="894">
                  <c:v>0.19519421500782777</c:v>
                </c:pt>
                <c:pt idx="895">
                  <c:v>0.19480236120226815</c:v>
                </c:pt>
                <c:pt idx="896">
                  <c:v>0.19441143349621104</c:v>
                </c:pt>
                <c:pt idx="897">
                  <c:v>0.19402142911727238</c:v>
                </c:pt>
                <c:pt idx="898">
                  <c:v>0.19363234530390008</c:v>
                </c:pt>
                <c:pt idx="899">
                  <c:v>0.19324417930532156</c:v>
                </c:pt>
                <c:pt idx="900">
                  <c:v>0.1928569283814891</c:v>
                </c:pt>
                <c:pt idx="901">
                  <c:v>0.1924705898030272</c:v>
                </c:pt>
                <c:pt idx="902">
                  <c:v>0.19208516085117927</c:v>
                </c:pt>
                <c:pt idx="903">
                  <c:v>0.19170063881775523</c:v>
                </c:pt>
                <c:pt idx="904">
                  <c:v>0.19131702100507927</c:v>
                </c:pt>
                <c:pt idx="905">
                  <c:v>0.19093430472593792</c:v>
                </c:pt>
                <c:pt idx="906">
                  <c:v>0.19055248730352792</c:v>
                </c:pt>
                <c:pt idx="907">
                  <c:v>0.1901715660714054</c:v>
                </c:pt>
                <c:pt idx="908">
                  <c:v>0.18979153837343449</c:v>
                </c:pt>
                <c:pt idx="909">
                  <c:v>0.18941240156373679</c:v>
                </c:pt>
                <c:pt idx="910">
                  <c:v>0.18903415300664067</c:v>
                </c:pt>
                <c:pt idx="911">
                  <c:v>0.1886567900766318</c:v>
                </c:pt>
                <c:pt idx="912">
                  <c:v>0.18828031015830246</c:v>
                </c:pt>
                <c:pt idx="913">
                  <c:v>0.18790471064630251</c:v>
                </c:pt>
                <c:pt idx="914">
                  <c:v>0.18752998894528994</c:v>
                </c:pt>
                <c:pt idx="915">
                  <c:v>0.18715614246988216</c:v>
                </c:pt>
                <c:pt idx="916">
                  <c:v>0.18678316864460739</c:v>
                </c:pt>
                <c:pt idx="917">
                  <c:v>0.18641106490385576</c:v>
                </c:pt>
                <c:pt idx="918">
                  <c:v>0.186039828691832</c:v>
                </c:pt>
                <c:pt idx="919">
                  <c:v>0.18566945746250699</c:v>
                </c:pt>
                <c:pt idx="920">
                  <c:v>0.18529994867957053</c:v>
                </c:pt>
                <c:pt idx="921">
                  <c:v>0.18493129981638434</c:v>
                </c:pt>
                <c:pt idx="922">
                  <c:v>0.18456350835593477</c:v>
                </c:pt>
                <c:pt idx="923">
                  <c:v>0.18419657179078622</c:v>
                </c:pt>
                <c:pt idx="924">
                  <c:v>0.183830487623035</c:v>
                </c:pt>
                <c:pt idx="925">
                  <c:v>0.18346525336426303</c:v>
                </c:pt>
                <c:pt idx="926">
                  <c:v>0.18310086653549207</c:v>
                </c:pt>
                <c:pt idx="927">
                  <c:v>0.18273732466713771</c:v>
                </c:pt>
                <c:pt idx="928">
                  <c:v>0.18237462529896489</c:v>
                </c:pt>
                <c:pt idx="929">
                  <c:v>0.18201276598004201</c:v>
                </c:pt>
                <c:pt idx="930">
                  <c:v>0.18165174426869715</c:v>
                </c:pt>
                <c:pt idx="931">
                  <c:v>0.18129155773247269</c:v>
                </c:pt>
                <c:pt idx="932">
                  <c:v>0.18093220394808113</c:v>
                </c:pt>
                <c:pt idx="933">
                  <c:v>0.18057368050136177</c:v>
                </c:pt>
                <c:pt idx="934">
                  <c:v>0.18021598498723634</c:v>
                </c:pt>
                <c:pt idx="935">
                  <c:v>0.17985911500966603</c:v>
                </c:pt>
                <c:pt idx="936">
                  <c:v>0.17950306818160769</c:v>
                </c:pt>
                <c:pt idx="937">
                  <c:v>0.17914784212497106</c:v>
                </c:pt>
                <c:pt idx="938">
                  <c:v>0.17879343447057661</c:v>
                </c:pt>
                <c:pt idx="939">
                  <c:v>0.17843984285811229</c:v>
                </c:pt>
                <c:pt idx="940">
                  <c:v>0.17808706493609172</c:v>
                </c:pt>
                <c:pt idx="941">
                  <c:v>0.17773509836181259</c:v>
                </c:pt>
                <c:pt idx="942">
                  <c:v>0.17738394080131373</c:v>
                </c:pt>
                <c:pt idx="943">
                  <c:v>0.17703358992933482</c:v>
                </c:pt>
                <c:pt idx="944">
                  <c:v>0.17668404342927491</c:v>
                </c:pt>
                <c:pt idx="945">
                  <c:v>0.1763352989931509</c:v>
                </c:pt>
                <c:pt idx="946">
                  <c:v>0.1759873543215571</c:v>
                </c:pt>
                <c:pt idx="947">
                  <c:v>0.17564020712362499</c:v>
                </c:pt>
                <c:pt idx="948">
                  <c:v>0.17529385511698226</c:v>
                </c:pt>
                <c:pt idx="949">
                  <c:v>0.17494829602771303</c:v>
                </c:pt>
                <c:pt idx="950">
                  <c:v>0.17460352759031839</c:v>
                </c:pt>
                <c:pt idx="951">
                  <c:v>0.17425954754767625</c:v>
                </c:pt>
                <c:pt idx="952">
                  <c:v>0.17391635365100225</c:v>
                </c:pt>
                <c:pt idx="953">
                  <c:v>0.1735739436598106</c:v>
                </c:pt>
                <c:pt idx="954">
                  <c:v>0.17323231534187508</c:v>
                </c:pt>
                <c:pt idx="955">
                  <c:v>0.17289146647319029</c:v>
                </c:pt>
                <c:pt idx="956">
                  <c:v>0.17255139483793308</c:v>
                </c:pt>
                <c:pt idx="957">
                  <c:v>0.17221209822842448</c:v>
                </c:pt>
                <c:pt idx="958">
                  <c:v>0.17187357444509188</c:v>
                </c:pt>
                <c:pt idx="959">
                  <c:v>0.17153582129643022</c:v>
                </c:pt>
                <c:pt idx="960">
                  <c:v>0.17119883659896581</c:v>
                </c:pt>
                <c:pt idx="961">
                  <c:v>0.17086261817721785</c:v>
                </c:pt>
                <c:pt idx="962">
                  <c:v>0.17052716386366154</c:v>
                </c:pt>
                <c:pt idx="963">
                  <c:v>0.17019247149869116</c:v>
                </c:pt>
                <c:pt idx="964">
                  <c:v>0.16985853893058325</c:v>
                </c:pt>
                <c:pt idx="965">
                  <c:v>0.16952536401546012</c:v>
                </c:pt>
                <c:pt idx="966">
                  <c:v>0.16919294461725343</c:v>
                </c:pt>
                <c:pt idx="967">
                  <c:v>0.16886127860766811</c:v>
                </c:pt>
                <c:pt idx="968">
                  <c:v>0.1685303638661462</c:v>
                </c:pt>
                <c:pt idx="969">
                  <c:v>0.16820019827983165</c:v>
                </c:pt>
                <c:pt idx="970">
                  <c:v>0.16787077974353404</c:v>
                </c:pt>
                <c:pt idx="971">
                  <c:v>0.16754210615969356</c:v>
                </c:pt>
                <c:pt idx="972">
                  <c:v>0.16721417543834646</c:v>
                </c:pt>
                <c:pt idx="973">
                  <c:v>0.16688698549708902</c:v>
                </c:pt>
                <c:pt idx="974">
                  <c:v>0.16656053426104364</c:v>
                </c:pt>
                <c:pt idx="975">
                  <c:v>0.16623481966282397</c:v>
                </c:pt>
                <c:pt idx="976">
                  <c:v>0.16590983964250053</c:v>
                </c:pt>
                <c:pt idx="977">
                  <c:v>0.16558559214756671</c:v>
                </c:pt>
                <c:pt idx="978">
                  <c:v>0.16526207513290475</c:v>
                </c:pt>
                <c:pt idx="979">
                  <c:v>0.16493928656075163</c:v>
                </c:pt>
                <c:pt idx="980">
                  <c:v>0.16461722440066601</c:v>
                </c:pt>
                <c:pt idx="981">
                  <c:v>0.16429588662949474</c:v>
                </c:pt>
                <c:pt idx="982">
                  <c:v>0.16397527123133901</c:v>
                </c:pt>
                <c:pt idx="983">
                  <c:v>0.16365537619752207</c:v>
                </c:pt>
                <c:pt idx="984">
                  <c:v>0.1633361995265559</c:v>
                </c:pt>
                <c:pt idx="985">
                  <c:v>0.16301773922410906</c:v>
                </c:pt>
                <c:pt idx="986">
                  <c:v>0.16269999330297355</c:v>
                </c:pt>
                <c:pt idx="987">
                  <c:v>0.16238295978303291</c:v>
                </c:pt>
                <c:pt idx="988">
                  <c:v>0.16206663669123011</c:v>
                </c:pt>
                <c:pt idx="989">
                  <c:v>0.16175102206153505</c:v>
                </c:pt>
                <c:pt idx="990">
                  <c:v>0.16143611393491394</c:v>
                </c:pt>
                <c:pt idx="991">
                  <c:v>0.16112191035929632</c:v>
                </c:pt>
                <c:pt idx="992">
                  <c:v>0.16080840938954466</c:v>
                </c:pt>
                <c:pt idx="993">
                  <c:v>0.16049560908742258</c:v>
                </c:pt>
                <c:pt idx="994">
                  <c:v>0.16018350752156432</c:v>
                </c:pt>
                <c:pt idx="995">
                  <c:v>0.15987210276744288</c:v>
                </c:pt>
                <c:pt idx="996">
                  <c:v>0.15956139290734003</c:v>
                </c:pt>
                <c:pt idx="997">
                  <c:v>0.15925137603031597</c:v>
                </c:pt>
                <c:pt idx="998">
                  <c:v>0.15894205023217783</c:v>
                </c:pt>
                <c:pt idx="999">
                  <c:v>0.1586334136154508</c:v>
                </c:pt>
                <c:pt idx="1000">
                  <c:v>0.1583254642893468</c:v>
                </c:pt>
                <c:pt idx="1001">
                  <c:v>0.15801820036973552</c:v>
                </c:pt>
                <c:pt idx="1002">
                  <c:v>0.15771161997911415</c:v>
                </c:pt>
                <c:pt idx="1003">
                  <c:v>0.1574057212465782</c:v>
                </c:pt>
                <c:pt idx="1004">
                  <c:v>0.15710050230779166</c:v>
                </c:pt>
                <c:pt idx="1005">
                  <c:v>0.15679596130495776</c:v>
                </c:pt>
                <c:pt idx="1006">
                  <c:v>0.15649209638679049</c:v>
                </c:pt>
                <c:pt idx="1007">
                  <c:v>0.15618890570848457</c:v>
                </c:pt>
                <c:pt idx="1008">
                  <c:v>0.15588638743168778</c:v>
                </c:pt>
                <c:pt idx="1009">
                  <c:v>0.15558453972447178</c:v>
                </c:pt>
                <c:pt idx="1010">
                  <c:v>0.15528336076130372</c:v>
                </c:pt>
                <c:pt idx="1011">
                  <c:v>0.1549828487230176</c:v>
                </c:pt>
                <c:pt idx="1012">
                  <c:v>0.15468300179678668</c:v>
                </c:pt>
                <c:pt idx="1013">
                  <c:v>0.15438381817609548</c:v>
                </c:pt>
                <c:pt idx="1014">
                  <c:v>0.15408529606071097</c:v>
                </c:pt>
                <c:pt idx="1015">
                  <c:v>0.15378743365665595</c:v>
                </c:pt>
                <c:pt idx="1016">
                  <c:v>0.15349022917618116</c:v>
                </c:pt>
                <c:pt idx="1017">
                  <c:v>0.15319368083773749</c:v>
                </c:pt>
                <c:pt idx="1018">
                  <c:v>0.15289778686594913</c:v>
                </c:pt>
                <c:pt idx="1019">
                  <c:v>0.15260254549158617</c:v>
                </c:pt>
                <c:pt idx="1020">
                  <c:v>0.15230795495153812</c:v>
                </c:pt>
                <c:pt idx="1021">
                  <c:v>0.15201401348878615</c:v>
                </c:pt>
                <c:pt idx="1022">
                  <c:v>0.15172071935237763</c:v>
                </c:pt>
                <c:pt idx="1023">
                  <c:v>0.15142807079739823</c:v>
                </c:pt>
                <c:pt idx="1024">
                  <c:v>0.15113606608494695</c:v>
                </c:pt>
                <c:pt idx="1025">
                  <c:v>0.15084470348210854</c:v>
                </c:pt>
                <c:pt idx="1026">
                  <c:v>0.1505539812619282</c:v>
                </c:pt>
                <c:pt idx="1027">
                  <c:v>0.1502638977033855</c:v>
                </c:pt>
                <c:pt idx="1028">
                  <c:v>0.14997445109136828</c:v>
                </c:pt>
                <c:pt idx="1029">
                  <c:v>0.14968563971664706</c:v>
                </c:pt>
                <c:pt idx="1030">
                  <c:v>0.14939746187584929</c:v>
                </c:pt>
                <c:pt idx="1031">
                  <c:v>0.14910991587143446</c:v>
                </c:pt>
                <c:pt idx="1032">
                  <c:v>0.14882300001166804</c:v>
                </c:pt>
                <c:pt idx="1033">
                  <c:v>0.14853671261059728</c:v>
                </c:pt>
                <c:pt idx="1034">
                  <c:v>0.14825105198802505</c:v>
                </c:pt>
                <c:pt idx="1035">
                  <c:v>0.14796601646948584</c:v>
                </c:pt>
                <c:pt idx="1036">
                  <c:v>0.14768160438622055</c:v>
                </c:pt>
                <c:pt idx="1037">
                  <c:v>0.14739781407515193</c:v>
                </c:pt>
                <c:pt idx="1038">
                  <c:v>0.14711464387886042</c:v>
                </c:pt>
                <c:pt idx="1039">
                  <c:v>0.14683209214555901</c:v>
                </c:pt>
                <c:pt idx="1040">
                  <c:v>0.14655015722906956</c:v>
                </c:pt>
                <c:pt idx="1041">
                  <c:v>0.14626883748879893</c:v>
                </c:pt>
                <c:pt idx="1042">
                  <c:v>0.14598813128971413</c:v>
                </c:pt>
                <c:pt idx="1043">
                  <c:v>0.14570803700231916</c:v>
                </c:pt>
                <c:pt idx="1044">
                  <c:v>0.14542855300263113</c:v>
                </c:pt>
                <c:pt idx="1045">
                  <c:v>0.14514967767215647</c:v>
                </c:pt>
                <c:pt idx="1046">
                  <c:v>0.14487140939786725</c:v>
                </c:pt>
                <c:pt idx="1047">
                  <c:v>0.14459374657217852</c:v>
                </c:pt>
                <c:pt idx="1048">
                  <c:v>0.1443166875929244</c:v>
                </c:pt>
                <c:pt idx="1049">
                  <c:v>0.14404023086333506</c:v>
                </c:pt>
                <c:pt idx="1050">
                  <c:v>0.14376437479201412</c:v>
                </c:pt>
                <c:pt idx="1051">
                  <c:v>0.14348911779291515</c:v>
                </c:pt>
                <c:pt idx="1052">
                  <c:v>0.14321445828531931</c:v>
                </c:pt>
                <c:pt idx="1053">
                  <c:v>0.14294039469381262</c:v>
                </c:pt>
                <c:pt idx="1054">
                  <c:v>0.14266692544826368</c:v>
                </c:pt>
                <c:pt idx="1055">
                  <c:v>0.14239404898380018</c:v>
                </c:pt>
                <c:pt idx="1056">
                  <c:v>0.14212176374078833</c:v>
                </c:pt>
                <c:pt idx="1057">
                  <c:v>0.14185006816480891</c:v>
                </c:pt>
                <c:pt idx="1058">
                  <c:v>0.14157896070663675</c:v>
                </c:pt>
                <c:pt idx="1059">
                  <c:v>0.14130843982221755</c:v>
                </c:pt>
                <c:pt idx="1060">
                  <c:v>0.14103850397264683</c:v>
                </c:pt>
                <c:pt idx="1061">
                  <c:v>0.14076915162414774</c:v>
                </c:pt>
                <c:pt idx="1062">
                  <c:v>0.14050038124804953</c:v>
                </c:pt>
                <c:pt idx="1063">
                  <c:v>0.14023219132076647</c:v>
                </c:pt>
                <c:pt idx="1064">
                  <c:v>0.13996458032377573</c:v>
                </c:pt>
                <c:pt idx="1065">
                  <c:v>0.13969754674359683</c:v>
                </c:pt>
                <c:pt idx="1066">
                  <c:v>0.13943108907176963</c:v>
                </c:pt>
                <c:pt idx="1067">
                  <c:v>0.1391652058048341</c:v>
                </c:pt>
                <c:pt idx="1068">
                  <c:v>0.138899895444309</c:v>
                </c:pt>
                <c:pt idx="1069">
                  <c:v>0.13863515649667071</c:v>
                </c:pt>
                <c:pt idx="1070">
                  <c:v>0.13837098747333321</c:v>
                </c:pt>
                <c:pt idx="1071">
                  <c:v>0.13810738689062677</c:v>
                </c:pt>
                <c:pt idx="1072">
                  <c:v>0.13784435326977795</c:v>
                </c:pt>
                <c:pt idx="1073">
                  <c:v>0.13758188513688832</c:v>
                </c:pt>
                <c:pt idx="1074">
                  <c:v>0.13731998102291521</c:v>
                </c:pt>
                <c:pt idx="1075">
                  <c:v>0.13705863946365085</c:v>
                </c:pt>
                <c:pt idx="1076">
                  <c:v>0.13679785899970234</c:v>
                </c:pt>
                <c:pt idx="1077">
                  <c:v>0.13653763817647188</c:v>
                </c:pt>
                <c:pt idx="1078">
                  <c:v>0.13627797554413637</c:v>
                </c:pt>
                <c:pt idx="1079">
                  <c:v>0.13601886965762786</c:v>
                </c:pt>
                <c:pt idx="1080">
                  <c:v>0.13576031907661412</c:v>
                </c:pt>
                <c:pt idx="1081">
                  <c:v>0.13550232236547871</c:v>
                </c:pt>
                <c:pt idx="1082">
                  <c:v>0.13524487809330132</c:v>
                </c:pt>
                <c:pt idx="1083">
                  <c:v>0.13498798483383861</c:v>
                </c:pt>
                <c:pt idx="1084">
                  <c:v>0.13473164116550521</c:v>
                </c:pt>
                <c:pt idx="1085">
                  <c:v>0.13447584567135348</c:v>
                </c:pt>
                <c:pt idx="1086">
                  <c:v>0.13422059693905544</c:v>
                </c:pt>
                <c:pt idx="1087">
                  <c:v>0.13396589356088351</c:v>
                </c:pt>
                <c:pt idx="1088">
                  <c:v>0.13371173413369092</c:v>
                </c:pt>
                <c:pt idx="1089">
                  <c:v>0.13345811725889359</c:v>
                </c:pt>
                <c:pt idx="1090">
                  <c:v>0.13320504154245125</c:v>
                </c:pt>
                <c:pt idx="1091">
                  <c:v>0.1329525055948485</c:v>
                </c:pt>
                <c:pt idx="1092">
                  <c:v>0.13270050803107647</c:v>
                </c:pt>
                <c:pt idx="1093">
                  <c:v>0.13244904747061473</c:v>
                </c:pt>
                <c:pt idx="1094">
                  <c:v>0.13219812253741212</c:v>
                </c:pt>
                <c:pt idx="1095">
                  <c:v>0.13194773185986886</c:v>
                </c:pt>
                <c:pt idx="1096">
                  <c:v>0.13169787407081857</c:v>
                </c:pt>
                <c:pt idx="1097">
                  <c:v>0.13144854780750995</c:v>
                </c:pt>
                <c:pt idx="1098">
                  <c:v>0.1311997517115889</c:v>
                </c:pt>
                <c:pt idx="1099">
                  <c:v>0.13095148442908056</c:v>
                </c:pt>
                <c:pt idx="1100">
                  <c:v>0.13070374461037126</c:v>
                </c:pt>
                <c:pt idx="1101">
                  <c:v>0.13045653091019124</c:v>
                </c:pt>
                <c:pt idx="1102">
                  <c:v>0.13020984198759644</c:v>
                </c:pt>
                <c:pt idx="1103">
                  <c:v>0.12996367650595123</c:v>
                </c:pt>
                <c:pt idx="1104">
                  <c:v>0.12971803313291128</c:v>
                </c:pt>
                <c:pt idx="1105">
                  <c:v>0.12947291054040572</c:v>
                </c:pt>
                <c:pt idx="1106">
                  <c:v>0.12922830740461969</c:v>
                </c:pt>
                <c:pt idx="1107">
                  <c:v>0.12898422240597784</c:v>
                </c:pt>
                <c:pt idx="1108">
                  <c:v>0.12874065422912639</c:v>
                </c:pt>
                <c:pt idx="1109">
                  <c:v>0.12849760156291654</c:v>
                </c:pt>
                <c:pt idx="1110">
                  <c:v>0.12825506310038723</c:v>
                </c:pt>
                <c:pt idx="1111">
                  <c:v>0.12801303753874882</c:v>
                </c:pt>
                <c:pt idx="1112">
                  <c:v>0.12777152357936594</c:v>
                </c:pt>
                <c:pt idx="1113">
                  <c:v>0.12753051992774034</c:v>
                </c:pt>
                <c:pt idx="1114">
                  <c:v>0.12729002529349498</c:v>
                </c:pt>
                <c:pt idx="1115">
                  <c:v>0.127050038390357</c:v>
                </c:pt>
                <c:pt idx="1116">
                  <c:v>0.12681055793614179</c:v>
                </c:pt>
                <c:pt idx="1117">
                  <c:v>0.12657158265273569</c:v>
                </c:pt>
                <c:pt idx="1118">
                  <c:v>0.12633311126608079</c:v>
                </c:pt>
                <c:pt idx="1119">
                  <c:v>0.12609514250615775</c:v>
                </c:pt>
                <c:pt idx="1120">
                  <c:v>0.12585767510697027</c:v>
                </c:pt>
                <c:pt idx="1121">
                  <c:v>0.12562070780652879</c:v>
                </c:pt>
                <c:pt idx="1122">
                  <c:v>0.12538423934683443</c:v>
                </c:pt>
                <c:pt idx="1123">
                  <c:v>0.12514826847386326</c:v>
                </c:pt>
                <c:pt idx="1124">
                  <c:v>0.12491279393755027</c:v>
                </c:pt>
                <c:pt idx="1125">
                  <c:v>0.12467781449177381</c:v>
                </c:pt>
                <c:pt idx="1126">
                  <c:v>0.12444332889433983</c:v>
                </c:pt>
                <c:pt idx="1127">
                  <c:v>0.12420933590696612</c:v>
                </c:pt>
                <c:pt idx="1128">
                  <c:v>0.12397583429526712</c:v>
                </c:pt>
                <c:pt idx="1129">
                  <c:v>0.12374282282873818</c:v>
                </c:pt>
                <c:pt idx="1130">
                  <c:v>0.12351030028074003</c:v>
                </c:pt>
                <c:pt idx="1131">
                  <c:v>0.12327826542848415</c:v>
                </c:pt>
                <c:pt idx="1132">
                  <c:v>0.12304671705301701</c:v>
                </c:pt>
                <c:pt idx="1133">
                  <c:v>0.12281565393920478</c:v>
                </c:pt>
                <c:pt idx="1134">
                  <c:v>0.12258507487571847</c:v>
                </c:pt>
                <c:pt idx="1135">
                  <c:v>0.12235497865501922</c:v>
                </c:pt>
                <c:pt idx="1136">
                  <c:v>0.12212536407334298</c:v>
                </c:pt>
                <c:pt idx="1137">
                  <c:v>0.12189622993068562</c:v>
                </c:pt>
                <c:pt idx="1138">
                  <c:v>0.12166757503078821</c:v>
                </c:pt>
                <c:pt idx="1139">
                  <c:v>0.12143939818112252</c:v>
                </c:pt>
                <c:pt idx="1140">
                  <c:v>0.121211698192876</c:v>
                </c:pt>
                <c:pt idx="1141">
                  <c:v>0.12098447388093739</c:v>
                </c:pt>
                <c:pt idx="1142">
                  <c:v>0.12075772406388242</c:v>
                </c:pt>
                <c:pt idx="1143">
                  <c:v>0.1205314475639592</c:v>
                </c:pt>
                <c:pt idx="1144">
                  <c:v>0.12030564320707338</c:v>
                </c:pt>
                <c:pt idx="1145">
                  <c:v>0.1200803098227745</c:v>
                </c:pt>
                <c:pt idx="1146">
                  <c:v>0.11985544624424156</c:v>
                </c:pt>
                <c:pt idx="1147">
                  <c:v>0.11963105130826875</c:v>
                </c:pt>
                <c:pt idx="1148">
                  <c:v>0.11940712385525147</c:v>
                </c:pt>
                <c:pt idx="1149">
                  <c:v>0.11918366272917211</c:v>
                </c:pt>
                <c:pt idx="1150">
                  <c:v>0.11896066677758628</c:v>
                </c:pt>
                <c:pt idx="1151">
                  <c:v>0.11873813485160883</c:v>
                </c:pt>
                <c:pt idx="1152">
                  <c:v>0.11851606580590011</c:v>
                </c:pt>
                <c:pt idx="1153">
                  <c:v>0.1182944584986519</c:v>
                </c:pt>
                <c:pt idx="1154">
                  <c:v>0.11807331179157418</c:v>
                </c:pt>
                <c:pt idx="1155">
                  <c:v>0.117852624549881</c:v>
                </c:pt>
                <c:pt idx="1156">
                  <c:v>0.11763239564227722</c:v>
                </c:pt>
                <c:pt idx="1157">
                  <c:v>0.11741262394094493</c:v>
                </c:pt>
                <c:pt idx="1158">
                  <c:v>0.11719330832153009</c:v>
                </c:pt>
                <c:pt idx="1159">
                  <c:v>0.11697444766312896</c:v>
                </c:pt>
                <c:pt idx="1160">
                  <c:v>0.11675604084827479</c:v>
                </c:pt>
                <c:pt idx="1161">
                  <c:v>0.11653808676292479</c:v>
                </c:pt>
                <c:pt idx="1162">
                  <c:v>0.11632058429644672</c:v>
                </c:pt>
                <c:pt idx="1163">
                  <c:v>0.11610353234160578</c:v>
                </c:pt>
                <c:pt idx="1164">
                  <c:v>0.11588692979455184</c:v>
                </c:pt>
                <c:pt idx="1165">
                  <c:v>0.11567077555480584</c:v>
                </c:pt>
                <c:pt idx="1166">
                  <c:v>0.11545506852524742</c:v>
                </c:pt>
                <c:pt idx="1167">
                  <c:v>0.11523980761210185</c:v>
                </c:pt>
                <c:pt idx="1168">
                  <c:v>0.11502499172492714</c:v>
                </c:pt>
                <c:pt idx="1169">
                  <c:v>0.11481061977660111</c:v>
                </c:pt>
                <c:pt idx="1170">
                  <c:v>0.11459669068330894</c:v>
                </c:pt>
                <c:pt idx="1171">
                  <c:v>0.11438320336453059</c:v>
                </c:pt>
                <c:pt idx="1172">
                  <c:v>0.1141701567430278</c:v>
                </c:pt>
                <c:pt idx="1173">
                  <c:v>0.11395754974483228</c:v>
                </c:pt>
                <c:pt idx="1174">
                  <c:v>0.11374538129923224</c:v>
                </c:pt>
                <c:pt idx="1175">
                  <c:v>0.11353365033876096</c:v>
                </c:pt>
                <c:pt idx="1176">
                  <c:v>0.11332235579918402</c:v>
                </c:pt>
                <c:pt idx="1177">
                  <c:v>0.11311149661948666</c:v>
                </c:pt>
                <c:pt idx="1178">
                  <c:v>0.11290107174186215</c:v>
                </c:pt>
                <c:pt idx="1179">
                  <c:v>0.11269108011169927</c:v>
                </c:pt>
                <c:pt idx="1180">
                  <c:v>0.11248152067757021</c:v>
                </c:pt>
                <c:pt idx="1181">
                  <c:v>0.11227239239121872</c:v>
                </c:pt>
                <c:pt idx="1182">
                  <c:v>0.11206369420754758</c:v>
                </c:pt>
                <c:pt idx="1183">
                  <c:v>0.11185542508460714</c:v>
                </c:pt>
                <c:pt idx="1184">
                  <c:v>0.11164758398358331</c:v>
                </c:pt>
                <c:pt idx="1185">
                  <c:v>0.11144016986878565</c:v>
                </c:pt>
                <c:pt idx="1186">
                  <c:v>0.11123318170763567</c:v>
                </c:pt>
                <c:pt idx="1187">
                  <c:v>0.11102661847065481</c:v>
                </c:pt>
                <c:pt idx="1188">
                  <c:v>0.11082047913145295</c:v>
                </c:pt>
                <c:pt idx="1189">
                  <c:v>0.11061476266671683</c:v>
                </c:pt>
                <c:pt idx="1190">
                  <c:v>0.1104094680561985</c:v>
                </c:pt>
                <c:pt idx="1191">
                  <c:v>0.11020459428270374</c:v>
                </c:pt>
                <c:pt idx="1192">
                  <c:v>0.11000014033208046</c:v>
                </c:pt>
                <c:pt idx="1193">
                  <c:v>0.10979610519320729</c:v>
                </c:pt>
                <c:pt idx="1194">
                  <c:v>0.1095924878579826</c:v>
                </c:pt>
                <c:pt idx="1195">
                  <c:v>0.10938928732131276</c:v>
                </c:pt>
                <c:pt idx="1196">
                  <c:v>0.10918650258110109</c:v>
                </c:pt>
                <c:pt idx="1197">
                  <c:v>0.10898413263823643</c:v>
                </c:pt>
                <c:pt idx="1198">
                  <c:v>0.1087821764965821</c:v>
                </c:pt>
                <c:pt idx="1199">
                  <c:v>0.10858063316296507</c:v>
                </c:pt>
                <c:pt idx="1200">
                  <c:v>0.10837950164716441</c:v>
                </c:pt>
                <c:pt idx="1201">
                  <c:v>0.10817878096190062</c:v>
                </c:pt>
                <c:pt idx="1202">
                  <c:v>0.10797847012282469</c:v>
                </c:pt>
                <c:pt idx="1203">
                  <c:v>0.10777856814850711</c:v>
                </c:pt>
                <c:pt idx="1204">
                  <c:v>0.1075790740604266</c:v>
                </c:pt>
                <c:pt idx="1205">
                  <c:v>0.10737998688295998</c:v>
                </c:pt>
                <c:pt idx="1206">
                  <c:v>0.10718130564337125</c:v>
                </c:pt>
                <c:pt idx="1207">
                  <c:v>0.10698302937180046</c:v>
                </c:pt>
                <c:pt idx="1208">
                  <c:v>0.10678515710125337</c:v>
                </c:pt>
                <c:pt idx="1209">
                  <c:v>0.10658768786759107</c:v>
                </c:pt>
                <c:pt idx="1210">
                  <c:v>0.10639062070951888</c:v>
                </c:pt>
                <c:pt idx="1211">
                  <c:v>0.1061939546685764</c:v>
                </c:pt>
                <c:pt idx="1212">
                  <c:v>0.10599768878912631</c:v>
                </c:pt>
                <c:pt idx="1213">
                  <c:v>0.10580182211834474</c:v>
                </c:pt>
                <c:pt idx="1214">
                  <c:v>0.10560635370621035</c:v>
                </c:pt>
                <c:pt idx="1215">
                  <c:v>0.10541128260549447</c:v>
                </c:pt>
                <c:pt idx="1216">
                  <c:v>0.10521660787174993</c:v>
                </c:pt>
                <c:pt idx="1217">
                  <c:v>0.10502232856330207</c:v>
                </c:pt>
                <c:pt idx="1218">
                  <c:v>0.10482844374123761</c:v>
                </c:pt>
                <c:pt idx="1219">
                  <c:v>0.10463495246939485</c:v>
                </c:pt>
                <c:pt idx="1220">
                  <c:v>0.10444185381435356</c:v>
                </c:pt>
                <c:pt idx="1221">
                  <c:v>0.10424914684542488</c:v>
                </c:pt>
                <c:pt idx="1222">
                  <c:v>0.10405683063464126</c:v>
                </c:pt>
                <c:pt idx="1223">
                  <c:v>0.10386490425674648</c:v>
                </c:pt>
                <c:pt idx="1224">
                  <c:v>0.10367336678918601</c:v>
                </c:pt>
                <c:pt idx="1225">
                  <c:v>0.10348221731209686</c:v>
                </c:pt>
                <c:pt idx="1226">
                  <c:v>0.10329145490829796</c:v>
                </c:pt>
                <c:pt idx="1227">
                  <c:v>0.10310107866327993</c:v>
                </c:pt>
                <c:pt idx="1228">
                  <c:v>0.10291108766519584</c:v>
                </c:pt>
                <c:pt idx="1229">
                  <c:v>0.1027214810048513</c:v>
                </c:pt>
                <c:pt idx="1230">
                  <c:v>0.10253225777569493</c:v>
                </c:pt>
                <c:pt idx="1231">
                  <c:v>0.10234341707380862</c:v>
                </c:pt>
                <c:pt idx="1232">
                  <c:v>0.10215495799789774</c:v>
                </c:pt>
                <c:pt idx="1233">
                  <c:v>0.10196687964928203</c:v>
                </c:pt>
                <c:pt idx="1234">
                  <c:v>0.10177918113188611</c:v>
                </c:pt>
                <c:pt idx="1235">
                  <c:v>0.10159186155222956</c:v>
                </c:pt>
                <c:pt idx="1236">
                  <c:v>0.10140492001941778</c:v>
                </c:pt>
                <c:pt idx="1237">
                  <c:v>0.10121835564513305</c:v>
                </c:pt>
                <c:pt idx="1238">
                  <c:v>0.10103216754362444</c:v>
                </c:pt>
                <c:pt idx="1239">
                  <c:v>0.10084635483169918</c:v>
                </c:pt>
                <c:pt idx="1240">
                  <c:v>0.10066091662871324</c:v>
                </c:pt>
                <c:pt idx="1241">
                  <c:v>0.10047585205656158</c:v>
                </c:pt>
                <c:pt idx="1242">
                  <c:v>0.10029116023967012</c:v>
                </c:pt>
                <c:pt idx="1243">
                  <c:v>0.1001068403049854</c:v>
                </c:pt>
                <c:pt idx="1244">
                  <c:v>9.9922891381966444E-2</c:v>
                </c:pt>
                <c:pt idx="1245">
                  <c:v>9.9739312602575458E-2</c:v>
                </c:pt>
                <c:pt idx="1246">
                  <c:v>9.9556103101268459E-2</c:v>
                </c:pt>
                <c:pt idx="1247">
                  <c:v>9.9373262014986585E-2</c:v>
                </c:pt>
                <c:pt idx="1248">
                  <c:v>9.9190788483147427E-2</c:v>
                </c:pt>
                <c:pt idx="1249">
                  <c:v>9.9008681647635807E-2</c:v>
                </c:pt>
                <c:pt idx="1250">
                  <c:v>9.8826940652795348E-2</c:v>
                </c:pt>
                <c:pt idx="1251">
                  <c:v>9.8645564645418876E-2</c:v>
                </c:pt>
                <c:pt idx="1252">
                  <c:v>9.8464552774740338E-2</c:v>
                </c:pt>
                <c:pt idx="1253">
                  <c:v>9.8283904192426177E-2</c:v>
                </c:pt>
                <c:pt idx="1254">
                  <c:v>9.8103618052566094E-2</c:v>
                </c:pt>
                <c:pt idx="1255">
                  <c:v>9.7923693511664897E-2</c:v>
                </c:pt>
                <c:pt idx="1256">
                  <c:v>9.7744129728633347E-2</c:v>
                </c:pt>
                <c:pt idx="1257">
                  <c:v>9.7564925864780314E-2</c:v>
                </c:pt>
                <c:pt idx="1258">
                  <c:v>9.7386081083803644E-2</c:v>
                </c:pt>
                <c:pt idx="1259">
                  <c:v>9.7207594551781878E-2</c:v>
                </c:pt>
                <c:pt idx="1260">
                  <c:v>9.7029465437165785E-2</c:v>
                </c:pt>
                <c:pt idx="1261">
                  <c:v>9.6851692910769935E-2</c:v>
                </c:pt>
                <c:pt idx="1262">
                  <c:v>9.6674276145764529E-2</c:v>
                </c:pt>
                <c:pt idx="1263">
                  <c:v>9.6497214317666405E-2</c:v>
                </c:pt>
                <c:pt idx="1264">
                  <c:v>9.632050660433146E-2</c:v>
                </c:pt>
                <c:pt idx="1265">
                  <c:v>9.6144152185946033E-2</c:v>
                </c:pt>
                <c:pt idx="1266">
                  <c:v>9.596815024501866E-2</c:v>
                </c:pt>
                <c:pt idx="1267">
                  <c:v>9.5792499966371833E-2</c:v>
                </c:pt>
                <c:pt idx="1268">
                  <c:v>9.5617200537134017E-2</c:v>
                </c:pt>
                <c:pt idx="1269">
                  <c:v>9.5442251146731383E-2</c:v>
                </c:pt>
                <c:pt idx="1270">
                  <c:v>9.5267650986879393E-2</c:v>
                </c:pt>
                <c:pt idx="1271">
                  <c:v>9.5093399251575519E-2</c:v>
                </c:pt>
                <c:pt idx="1272">
                  <c:v>9.4919495137090498E-2</c:v>
                </c:pt>
                <c:pt idx="1273">
                  <c:v>9.4745937841960767E-2</c:v>
                </c:pt>
                <c:pt idx="1274">
                  <c:v>9.4572726566980042E-2</c:v>
                </c:pt>
                <c:pt idx="1275">
                  <c:v>9.4399860515191891E-2</c:v>
                </c:pt>
                <c:pt idx="1276">
                  <c:v>9.4227338891881562E-2</c:v>
                </c:pt>
                <c:pt idx="1277">
                  <c:v>9.4055160904568155E-2</c:v>
                </c:pt>
                <c:pt idx="1278">
                  <c:v>9.3883325762996808E-2</c:v>
                </c:pt>
                <c:pt idx="1279">
                  <c:v>9.3711832679130927E-2</c:v>
                </c:pt>
                <c:pt idx="1280">
                  <c:v>9.3540680867144399E-2</c:v>
                </c:pt>
                <c:pt idx="1281">
                  <c:v>9.3369869543413836E-2</c:v>
                </c:pt>
                <c:pt idx="1282">
                  <c:v>9.3199397926511107E-2</c:v>
                </c:pt>
                <c:pt idx="1283">
                  <c:v>9.3029265237195416E-2</c:v>
                </c:pt>
                <c:pt idx="1284">
                  <c:v>9.2859470698405569E-2</c:v>
                </c:pt>
                <c:pt idx="1285">
                  <c:v>9.2690013535252955E-2</c:v>
                </c:pt>
                <c:pt idx="1286">
                  <c:v>9.2520892975013008E-2</c:v>
                </c:pt>
                <c:pt idx="1287">
                  <c:v>9.2352108247118717E-2</c:v>
                </c:pt>
                <c:pt idx="1288">
                  <c:v>9.2183658583152722E-2</c:v>
                </c:pt>
                <c:pt idx="1289">
                  <c:v>9.2015543216839524E-2</c:v>
                </c:pt>
                <c:pt idx="1290">
                  <c:v>9.1847761384038315E-2</c:v>
                </c:pt>
                <c:pt idx="1291">
                  <c:v>9.1680312322735616E-2</c:v>
                </c:pt>
                <c:pt idx="1292">
                  <c:v>9.1513195273037931E-2</c:v>
                </c:pt>
                <c:pt idx="1293">
                  <c:v>9.1346409477164547E-2</c:v>
                </c:pt>
                <c:pt idx="1294">
                  <c:v>9.1179954179439582E-2</c:v>
                </c:pt>
                <c:pt idx="1295">
                  <c:v>9.1013828626285487E-2</c:v>
                </c:pt>
                <c:pt idx="1296">
                  <c:v>9.0848032066215154E-2</c:v>
                </c:pt>
                <c:pt idx="1297">
                  <c:v>9.0682563749825376E-2</c:v>
                </c:pt>
                <c:pt idx="1298">
                  <c:v>9.0517422929788954E-2</c:v>
                </c:pt>
                <c:pt idx="1299">
                  <c:v>9.0352608860847894E-2</c:v>
                </c:pt>
                <c:pt idx="1300">
                  <c:v>9.018812079980644E-2</c:v>
                </c:pt>
                <c:pt idx="1301">
                  <c:v>9.002395800552343E-2</c:v>
                </c:pt>
                <c:pt idx="1302">
                  <c:v>8.9860119738906188E-2</c:v>
                </c:pt>
                <c:pt idx="1303">
                  <c:v>8.9696605262902365E-2</c:v>
                </c:pt>
                <c:pt idx="1304">
                  <c:v>8.9533413842493567E-2</c:v>
                </c:pt>
                <c:pt idx="1305">
                  <c:v>8.9370544744688252E-2</c:v>
                </c:pt>
                <c:pt idx="1306">
                  <c:v>8.9207997238515108E-2</c:v>
                </c:pt>
                <c:pt idx="1307">
                  <c:v>8.9045770595015256E-2</c:v>
                </c:pt>
                <c:pt idx="1308">
                  <c:v>8.8883864087236447E-2</c:v>
                </c:pt>
                <c:pt idx="1309">
                  <c:v>8.8722276990225321E-2</c:v>
                </c:pt>
                <c:pt idx="1310">
                  <c:v>8.8561008581021006E-2</c:v>
                </c:pt>
                <c:pt idx="1311">
                  <c:v>8.8400058138648221E-2</c:v>
                </c:pt>
                <c:pt idx="1312">
                  <c:v>8.8239424944110662E-2</c:v>
                </c:pt>
                <c:pt idx="1313">
                  <c:v>8.8079108280383872E-2</c:v>
                </c:pt>
                <c:pt idx="1314">
                  <c:v>8.7919107432408786E-2</c:v>
                </c:pt>
                <c:pt idx="1315">
                  <c:v>8.7759421687085004E-2</c:v>
                </c:pt>
                <c:pt idx="1316">
                  <c:v>8.7600050333264415E-2</c:v>
                </c:pt>
                <c:pt idx="1317">
                  <c:v>8.7440992661743794E-2</c:v>
                </c:pt>
                <c:pt idx="1318">
                  <c:v>8.7282247965258908E-2</c:v>
                </c:pt>
                <c:pt idx="1319">
                  <c:v>8.712381553847777E-2</c:v>
                </c:pt>
                <c:pt idx="1320">
                  <c:v>8.696569467799399E-2</c:v>
                </c:pt>
                <c:pt idx="1321">
                  <c:v>8.6807884682319925E-2</c:v>
                </c:pt>
                <c:pt idx="1322">
                  <c:v>8.6650384851881035E-2</c:v>
                </c:pt>
                <c:pt idx="1323">
                  <c:v>8.6493194489008413E-2</c:v>
                </c:pt>
                <c:pt idx="1324">
                  <c:v>8.6336312897933101E-2</c:v>
                </c:pt>
                <c:pt idx="1325">
                  <c:v>8.6179739384779463E-2</c:v>
                </c:pt>
                <c:pt idx="1326">
                  <c:v>8.6023473257558478E-2</c:v>
                </c:pt>
                <c:pt idx="1327">
                  <c:v>8.5867513826161534E-2</c:v>
                </c:pt>
                <c:pt idx="1328">
                  <c:v>8.5711860402354595E-2</c:v>
                </c:pt>
                <c:pt idx="1329">
                  <c:v>8.5556512299770848E-2</c:v>
                </c:pt>
                <c:pt idx="1330">
                  <c:v>8.5401468833905578E-2</c:v>
                </c:pt>
                <c:pt idx="1331">
                  <c:v>8.5246729322109069E-2</c:v>
                </c:pt>
                <c:pt idx="1332">
                  <c:v>8.5092293083580836E-2</c:v>
                </c:pt>
                <c:pt idx="1333">
                  <c:v>8.4938159439362851E-2</c:v>
                </c:pt>
                <c:pt idx="1334">
                  <c:v>8.4784327712334198E-2</c:v>
                </c:pt>
                <c:pt idx="1335">
                  <c:v>8.4630797227204041E-2</c:v>
                </c:pt>
                <c:pt idx="1336">
                  <c:v>8.4477567310506055E-2</c:v>
                </c:pt>
                <c:pt idx="1337">
                  <c:v>8.4324637290592044E-2</c:v>
                </c:pt>
                <c:pt idx="1338">
                  <c:v>8.4172006497626309E-2</c:v>
                </c:pt>
                <c:pt idx="1339">
                  <c:v>8.4019674263578967E-2</c:v>
                </c:pt>
                <c:pt idx="1340">
                  <c:v>8.3867639922220072E-2</c:v>
                </c:pt>
                <c:pt idx="1341">
                  <c:v>8.3715902809113854E-2</c:v>
                </c:pt>
                <c:pt idx="1342">
                  <c:v>8.3564462261612682E-2</c:v>
                </c:pt>
                <c:pt idx="1343">
                  <c:v>8.3413317618850777E-2</c:v>
                </c:pt>
                <c:pt idx="1344">
                  <c:v>8.3262468221738911E-2</c:v>
                </c:pt>
                <c:pt idx="1345">
                  <c:v>8.3111913412957705E-2</c:v>
                </c:pt>
                <c:pt idx="1346">
                  <c:v>8.2961652536952507E-2</c:v>
                </c:pt>
                <c:pt idx="1347">
                  <c:v>8.2811684939926702E-2</c:v>
                </c:pt>
                <c:pt idx="1348">
                  <c:v>8.2662009969836678E-2</c:v>
                </c:pt>
                <c:pt idx="1349">
                  <c:v>8.2512626976385464E-2</c:v>
                </c:pt>
                <c:pt idx="1350">
                  <c:v>8.2363535311017436E-2</c:v>
                </c:pt>
                <c:pt idx="1351">
                  <c:v>8.2214734326911731E-2</c:v>
                </c:pt>
                <c:pt idx="1352">
                  <c:v>8.2066223378977302E-2</c:v>
                </c:pt>
                <c:pt idx="1353">
                  <c:v>8.1918001823846717E-2</c:v>
                </c:pt>
                <c:pt idx="1354">
                  <c:v>8.1770069019870967E-2</c:v>
                </c:pt>
                <c:pt idx="1355">
                  <c:v>8.1622424327113197E-2</c:v>
                </c:pt>
                <c:pt idx="1356">
                  <c:v>8.1475067107343424E-2</c:v>
                </c:pt>
                <c:pt idx="1357">
                  <c:v>8.1327996724032611E-2</c:v>
                </c:pt>
                <c:pt idx="1358">
                  <c:v>8.118121254234735E-2</c:v>
                </c:pt>
                <c:pt idx="1359">
                  <c:v>8.1034713929144186E-2</c:v>
                </c:pt>
                <c:pt idx="1360">
                  <c:v>8.0888500252963777E-2</c:v>
                </c:pt>
                <c:pt idx="1361">
                  <c:v>8.0742570884025963E-2</c:v>
                </c:pt>
                <c:pt idx="1362">
                  <c:v>8.0596925194223901E-2</c:v>
                </c:pt>
                <c:pt idx="1363">
                  <c:v>8.0451562557118023E-2</c:v>
                </c:pt>
                <c:pt idx="1364">
                  <c:v>8.0306482347931724E-2</c:v>
                </c:pt>
                <c:pt idx="1365">
                  <c:v>8.0161683943544809E-2</c:v>
                </c:pt>
                <c:pt idx="1366">
                  <c:v>8.0017166722488764E-2</c:v>
                </c:pt>
                <c:pt idx="1367">
                  <c:v>7.9872930064941006E-2</c:v>
                </c:pt>
                <c:pt idx="1368">
                  <c:v>7.9728973352719501E-2</c:v>
                </c:pt>
                <c:pt idx="1369">
                  <c:v>7.9585295969277714E-2</c:v>
                </c:pt>
                <c:pt idx="1370">
                  <c:v>7.9441897299698847E-2</c:v>
                </c:pt>
                <c:pt idx="1371">
                  <c:v>7.9298776730690898E-2</c:v>
                </c:pt>
                <c:pt idx="1372">
                  <c:v>7.9155933650580851E-2</c:v>
                </c:pt>
                <c:pt idx="1373">
                  <c:v>7.9013367449310062E-2</c:v>
                </c:pt>
                <c:pt idx="1374">
                  <c:v>7.8871077518428465E-2</c:v>
                </c:pt>
                <c:pt idx="1375">
                  <c:v>7.872906325108936E-2</c:v>
                </c:pt>
                <c:pt idx="1376">
                  <c:v>7.8587324042044646E-2</c:v>
                </c:pt>
                <c:pt idx="1377">
                  <c:v>7.8445859287639128E-2</c:v>
                </c:pt>
                <c:pt idx="1378">
                  <c:v>7.8304668385805742E-2</c:v>
                </c:pt>
                <c:pt idx="1379">
                  <c:v>7.8163750736059912E-2</c:v>
                </c:pt>
                <c:pt idx="1380">
                  <c:v>7.8023105739494628E-2</c:v>
                </c:pt>
                <c:pt idx="1381">
                  <c:v>7.7882732798775833E-2</c:v>
                </c:pt>
                <c:pt idx="1382">
                  <c:v>7.7742631318136537E-2</c:v>
                </c:pt>
                <c:pt idx="1383">
                  <c:v>7.7602800703372124E-2</c:v>
                </c:pt>
                <c:pt idx="1384">
                  <c:v>7.7463240361835259E-2</c:v>
                </c:pt>
                <c:pt idx="1385">
                  <c:v>7.7323949702430922E-2</c:v>
                </c:pt>
                <c:pt idx="1386">
                  <c:v>7.7184928135611383E-2</c:v>
                </c:pt>
                <c:pt idx="1387">
                  <c:v>7.7046175073370998E-2</c:v>
                </c:pt>
                <c:pt idx="1388">
                  <c:v>7.6907689929241282E-2</c:v>
                </c:pt>
                <c:pt idx="1389">
                  <c:v>7.6769472118286358E-2</c:v>
                </c:pt>
                <c:pt idx="1390">
                  <c:v>7.6631521057097654E-2</c:v>
                </c:pt>
                <c:pt idx="1391">
                  <c:v>7.6493836163788978E-2</c:v>
                </c:pt>
                <c:pt idx="1392">
                  <c:v>7.6356416857991466E-2</c:v>
                </c:pt>
                <c:pt idx="1393">
                  <c:v>7.621926256084928E-2</c:v>
                </c:pt>
                <c:pt idx="1394">
                  <c:v>7.6082372695014167E-2</c:v>
                </c:pt>
                <c:pt idx="1395">
                  <c:v>7.5945746684640991E-2</c:v>
                </c:pt>
                <c:pt idx="1396">
                  <c:v>7.580938395538242E-2</c:v>
                </c:pt>
                <c:pt idx="1397">
                  <c:v>7.5673283934384994E-2</c:v>
                </c:pt>
                <c:pt idx="1398">
                  <c:v>7.553744605028323E-2</c:v>
                </c:pt>
                <c:pt idx="1399">
                  <c:v>7.5401869733196056E-2</c:v>
                </c:pt>
                <c:pt idx="1400">
                  <c:v>7.5266554414720868E-2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376-4A1D-BB00-BE1F1EF04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980512"/>
        <c:axId val="268980840"/>
      </c:scatterChart>
      <c:scatterChart>
        <c:scatterStyle val="smoothMarker"/>
        <c:varyColors val="0"/>
        <c:ser>
          <c:idx val="1"/>
          <c:order val="1"/>
          <c:tx>
            <c:strRef>
              <c:f>'Face Support'!$S$1</c:f>
              <c:strCache>
                <c:ptCount val="1"/>
                <c:pt idx="0">
                  <c:v>x (m)</c:v>
                </c:pt>
              </c:strCache>
            </c:strRef>
          </c:tx>
          <c:spPr>
            <a:ln w="19050">
              <a:solidFill>
                <a:srgbClr val="00B0F0"/>
              </a:solidFill>
              <a:prstDash val="lgDash"/>
            </a:ln>
          </c:spPr>
          <c:marker>
            <c:symbol val="none"/>
          </c:marker>
          <c:xVal>
            <c:numRef>
              <c:f>'Face Support'!$P$2:$P$1497</c:f>
              <c:numCache>
                <c:formatCode>General</c:formatCode>
                <c:ptCount val="1496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  <c:pt idx="121">
                  <c:v>605</c:v>
                </c:pt>
                <c:pt idx="122">
                  <c:v>610</c:v>
                </c:pt>
                <c:pt idx="123">
                  <c:v>615</c:v>
                </c:pt>
                <c:pt idx="124">
                  <c:v>620</c:v>
                </c:pt>
                <c:pt idx="125">
                  <c:v>625</c:v>
                </c:pt>
                <c:pt idx="126">
                  <c:v>630</c:v>
                </c:pt>
                <c:pt idx="127">
                  <c:v>635</c:v>
                </c:pt>
                <c:pt idx="128">
                  <c:v>640</c:v>
                </c:pt>
                <c:pt idx="129">
                  <c:v>645</c:v>
                </c:pt>
                <c:pt idx="130">
                  <c:v>650</c:v>
                </c:pt>
                <c:pt idx="131">
                  <c:v>655</c:v>
                </c:pt>
                <c:pt idx="132">
                  <c:v>660</c:v>
                </c:pt>
                <c:pt idx="133">
                  <c:v>665</c:v>
                </c:pt>
                <c:pt idx="134">
                  <c:v>670</c:v>
                </c:pt>
                <c:pt idx="135">
                  <c:v>675</c:v>
                </c:pt>
                <c:pt idx="136">
                  <c:v>680</c:v>
                </c:pt>
                <c:pt idx="137">
                  <c:v>685</c:v>
                </c:pt>
                <c:pt idx="138">
                  <c:v>690</c:v>
                </c:pt>
                <c:pt idx="139">
                  <c:v>695</c:v>
                </c:pt>
                <c:pt idx="140">
                  <c:v>700</c:v>
                </c:pt>
                <c:pt idx="141">
                  <c:v>705</c:v>
                </c:pt>
                <c:pt idx="142">
                  <c:v>710</c:v>
                </c:pt>
                <c:pt idx="143">
                  <c:v>715</c:v>
                </c:pt>
                <c:pt idx="144">
                  <c:v>720</c:v>
                </c:pt>
                <c:pt idx="145">
                  <c:v>725</c:v>
                </c:pt>
                <c:pt idx="146">
                  <c:v>730</c:v>
                </c:pt>
                <c:pt idx="147">
                  <c:v>735</c:v>
                </c:pt>
                <c:pt idx="148">
                  <c:v>740</c:v>
                </c:pt>
                <c:pt idx="149">
                  <c:v>745</c:v>
                </c:pt>
                <c:pt idx="150">
                  <c:v>750</c:v>
                </c:pt>
                <c:pt idx="151">
                  <c:v>755</c:v>
                </c:pt>
                <c:pt idx="152">
                  <c:v>760</c:v>
                </c:pt>
                <c:pt idx="153">
                  <c:v>765</c:v>
                </c:pt>
                <c:pt idx="154">
                  <c:v>770</c:v>
                </c:pt>
                <c:pt idx="155">
                  <c:v>775</c:v>
                </c:pt>
                <c:pt idx="156">
                  <c:v>780</c:v>
                </c:pt>
                <c:pt idx="157">
                  <c:v>785</c:v>
                </c:pt>
                <c:pt idx="158">
                  <c:v>790</c:v>
                </c:pt>
                <c:pt idx="159">
                  <c:v>795</c:v>
                </c:pt>
                <c:pt idx="160">
                  <c:v>800</c:v>
                </c:pt>
                <c:pt idx="161">
                  <c:v>805</c:v>
                </c:pt>
                <c:pt idx="162">
                  <c:v>810</c:v>
                </c:pt>
                <c:pt idx="163">
                  <c:v>815</c:v>
                </c:pt>
                <c:pt idx="164">
                  <c:v>820</c:v>
                </c:pt>
                <c:pt idx="165">
                  <c:v>825</c:v>
                </c:pt>
                <c:pt idx="166">
                  <c:v>830</c:v>
                </c:pt>
                <c:pt idx="167">
                  <c:v>835</c:v>
                </c:pt>
                <c:pt idx="168">
                  <c:v>840</c:v>
                </c:pt>
                <c:pt idx="169">
                  <c:v>845</c:v>
                </c:pt>
                <c:pt idx="170">
                  <c:v>850</c:v>
                </c:pt>
                <c:pt idx="171">
                  <c:v>855</c:v>
                </c:pt>
                <c:pt idx="172">
                  <c:v>860</c:v>
                </c:pt>
                <c:pt idx="173">
                  <c:v>865</c:v>
                </c:pt>
                <c:pt idx="174">
                  <c:v>870</c:v>
                </c:pt>
                <c:pt idx="175">
                  <c:v>875</c:v>
                </c:pt>
                <c:pt idx="176">
                  <c:v>880</c:v>
                </c:pt>
                <c:pt idx="177">
                  <c:v>885</c:v>
                </c:pt>
                <c:pt idx="178">
                  <c:v>890</c:v>
                </c:pt>
                <c:pt idx="179">
                  <c:v>895</c:v>
                </c:pt>
                <c:pt idx="180">
                  <c:v>900</c:v>
                </c:pt>
                <c:pt idx="181">
                  <c:v>905</c:v>
                </c:pt>
                <c:pt idx="182">
                  <c:v>910</c:v>
                </c:pt>
                <c:pt idx="183">
                  <c:v>915</c:v>
                </c:pt>
                <c:pt idx="184">
                  <c:v>920</c:v>
                </c:pt>
                <c:pt idx="185">
                  <c:v>925</c:v>
                </c:pt>
                <c:pt idx="186">
                  <c:v>930</c:v>
                </c:pt>
                <c:pt idx="187">
                  <c:v>935</c:v>
                </c:pt>
                <c:pt idx="188">
                  <c:v>940</c:v>
                </c:pt>
                <c:pt idx="189">
                  <c:v>945</c:v>
                </c:pt>
                <c:pt idx="190">
                  <c:v>950</c:v>
                </c:pt>
                <c:pt idx="191">
                  <c:v>955</c:v>
                </c:pt>
                <c:pt idx="192">
                  <c:v>960</c:v>
                </c:pt>
                <c:pt idx="193">
                  <c:v>965</c:v>
                </c:pt>
                <c:pt idx="194">
                  <c:v>970</c:v>
                </c:pt>
                <c:pt idx="195">
                  <c:v>975</c:v>
                </c:pt>
                <c:pt idx="196">
                  <c:v>980</c:v>
                </c:pt>
                <c:pt idx="197">
                  <c:v>985</c:v>
                </c:pt>
                <c:pt idx="198">
                  <c:v>990</c:v>
                </c:pt>
                <c:pt idx="199">
                  <c:v>995</c:v>
                </c:pt>
                <c:pt idx="200">
                  <c:v>1000</c:v>
                </c:pt>
                <c:pt idx="201">
                  <c:v>1005</c:v>
                </c:pt>
                <c:pt idx="202">
                  <c:v>1010</c:v>
                </c:pt>
                <c:pt idx="203">
                  <c:v>1015</c:v>
                </c:pt>
                <c:pt idx="204">
                  <c:v>1020</c:v>
                </c:pt>
                <c:pt idx="205">
                  <c:v>1025</c:v>
                </c:pt>
                <c:pt idx="206">
                  <c:v>1030</c:v>
                </c:pt>
                <c:pt idx="207">
                  <c:v>1035</c:v>
                </c:pt>
                <c:pt idx="208">
                  <c:v>1040</c:v>
                </c:pt>
                <c:pt idx="209">
                  <c:v>1045</c:v>
                </c:pt>
                <c:pt idx="210">
                  <c:v>1050</c:v>
                </c:pt>
                <c:pt idx="211">
                  <c:v>1055</c:v>
                </c:pt>
                <c:pt idx="212">
                  <c:v>1060</c:v>
                </c:pt>
                <c:pt idx="213">
                  <c:v>1065</c:v>
                </c:pt>
                <c:pt idx="214">
                  <c:v>1070</c:v>
                </c:pt>
                <c:pt idx="215">
                  <c:v>1075</c:v>
                </c:pt>
                <c:pt idx="216">
                  <c:v>1080</c:v>
                </c:pt>
                <c:pt idx="217">
                  <c:v>1085</c:v>
                </c:pt>
                <c:pt idx="218">
                  <c:v>1090</c:v>
                </c:pt>
                <c:pt idx="219">
                  <c:v>1095</c:v>
                </c:pt>
                <c:pt idx="220">
                  <c:v>1100</c:v>
                </c:pt>
                <c:pt idx="221">
                  <c:v>1105</c:v>
                </c:pt>
                <c:pt idx="222">
                  <c:v>1110</c:v>
                </c:pt>
                <c:pt idx="223">
                  <c:v>1115</c:v>
                </c:pt>
                <c:pt idx="224">
                  <c:v>1120</c:v>
                </c:pt>
                <c:pt idx="225">
                  <c:v>1125</c:v>
                </c:pt>
                <c:pt idx="226">
                  <c:v>1130</c:v>
                </c:pt>
                <c:pt idx="227">
                  <c:v>1135</c:v>
                </c:pt>
                <c:pt idx="228">
                  <c:v>1140</c:v>
                </c:pt>
                <c:pt idx="229">
                  <c:v>1145</c:v>
                </c:pt>
                <c:pt idx="230">
                  <c:v>1150</c:v>
                </c:pt>
                <c:pt idx="231">
                  <c:v>1155</c:v>
                </c:pt>
                <c:pt idx="232">
                  <c:v>1160</c:v>
                </c:pt>
                <c:pt idx="233">
                  <c:v>1165</c:v>
                </c:pt>
                <c:pt idx="234">
                  <c:v>1170</c:v>
                </c:pt>
                <c:pt idx="235">
                  <c:v>1175</c:v>
                </c:pt>
                <c:pt idx="236">
                  <c:v>1180</c:v>
                </c:pt>
                <c:pt idx="237">
                  <c:v>1185</c:v>
                </c:pt>
                <c:pt idx="238">
                  <c:v>1190</c:v>
                </c:pt>
                <c:pt idx="239">
                  <c:v>1195</c:v>
                </c:pt>
                <c:pt idx="240">
                  <c:v>1200</c:v>
                </c:pt>
                <c:pt idx="241">
                  <c:v>1205</c:v>
                </c:pt>
                <c:pt idx="242">
                  <c:v>1210</c:v>
                </c:pt>
                <c:pt idx="243">
                  <c:v>1215</c:v>
                </c:pt>
                <c:pt idx="244">
                  <c:v>1220</c:v>
                </c:pt>
                <c:pt idx="245">
                  <c:v>1225</c:v>
                </c:pt>
                <c:pt idx="246">
                  <c:v>1230</c:v>
                </c:pt>
                <c:pt idx="247">
                  <c:v>1235</c:v>
                </c:pt>
                <c:pt idx="248">
                  <c:v>1240</c:v>
                </c:pt>
                <c:pt idx="249">
                  <c:v>1245</c:v>
                </c:pt>
                <c:pt idx="250">
                  <c:v>1250</c:v>
                </c:pt>
                <c:pt idx="251">
                  <c:v>1255</c:v>
                </c:pt>
                <c:pt idx="252">
                  <c:v>1260</c:v>
                </c:pt>
                <c:pt idx="253">
                  <c:v>1265</c:v>
                </c:pt>
                <c:pt idx="254">
                  <c:v>1270</c:v>
                </c:pt>
                <c:pt idx="255">
                  <c:v>1275</c:v>
                </c:pt>
                <c:pt idx="256">
                  <c:v>1280</c:v>
                </c:pt>
                <c:pt idx="257">
                  <c:v>1285</c:v>
                </c:pt>
                <c:pt idx="258">
                  <c:v>1290</c:v>
                </c:pt>
                <c:pt idx="259">
                  <c:v>1295</c:v>
                </c:pt>
                <c:pt idx="260">
                  <c:v>1300</c:v>
                </c:pt>
                <c:pt idx="261">
                  <c:v>1305</c:v>
                </c:pt>
                <c:pt idx="262">
                  <c:v>1310</c:v>
                </c:pt>
                <c:pt idx="263">
                  <c:v>1315</c:v>
                </c:pt>
                <c:pt idx="264">
                  <c:v>1320</c:v>
                </c:pt>
                <c:pt idx="265">
                  <c:v>1325</c:v>
                </c:pt>
                <c:pt idx="266">
                  <c:v>1330</c:v>
                </c:pt>
                <c:pt idx="267">
                  <c:v>1335</c:v>
                </c:pt>
                <c:pt idx="268">
                  <c:v>1340</c:v>
                </c:pt>
                <c:pt idx="269">
                  <c:v>1345</c:v>
                </c:pt>
                <c:pt idx="270">
                  <c:v>1350</c:v>
                </c:pt>
                <c:pt idx="271">
                  <c:v>1355</c:v>
                </c:pt>
                <c:pt idx="272">
                  <c:v>1360</c:v>
                </c:pt>
                <c:pt idx="273">
                  <c:v>1365</c:v>
                </c:pt>
                <c:pt idx="274">
                  <c:v>1370</c:v>
                </c:pt>
                <c:pt idx="275">
                  <c:v>1375</c:v>
                </c:pt>
                <c:pt idx="276">
                  <c:v>1380</c:v>
                </c:pt>
                <c:pt idx="277">
                  <c:v>1385</c:v>
                </c:pt>
                <c:pt idx="278">
                  <c:v>1390</c:v>
                </c:pt>
                <c:pt idx="279">
                  <c:v>1395</c:v>
                </c:pt>
                <c:pt idx="280">
                  <c:v>1400</c:v>
                </c:pt>
                <c:pt idx="281">
                  <c:v>1405</c:v>
                </c:pt>
                <c:pt idx="282">
                  <c:v>1410</c:v>
                </c:pt>
                <c:pt idx="283">
                  <c:v>1415</c:v>
                </c:pt>
                <c:pt idx="284">
                  <c:v>1420</c:v>
                </c:pt>
                <c:pt idx="285">
                  <c:v>1425</c:v>
                </c:pt>
                <c:pt idx="286">
                  <c:v>1430</c:v>
                </c:pt>
                <c:pt idx="287">
                  <c:v>1435</c:v>
                </c:pt>
                <c:pt idx="288">
                  <c:v>1440</c:v>
                </c:pt>
                <c:pt idx="289">
                  <c:v>1445</c:v>
                </c:pt>
                <c:pt idx="290">
                  <c:v>1450</c:v>
                </c:pt>
                <c:pt idx="291">
                  <c:v>1455</c:v>
                </c:pt>
                <c:pt idx="292">
                  <c:v>1460</c:v>
                </c:pt>
                <c:pt idx="293">
                  <c:v>1465</c:v>
                </c:pt>
                <c:pt idx="294">
                  <c:v>1470</c:v>
                </c:pt>
                <c:pt idx="295">
                  <c:v>1475</c:v>
                </c:pt>
                <c:pt idx="296">
                  <c:v>1480</c:v>
                </c:pt>
                <c:pt idx="297">
                  <c:v>1485</c:v>
                </c:pt>
                <c:pt idx="298">
                  <c:v>1490</c:v>
                </c:pt>
                <c:pt idx="299">
                  <c:v>1495</c:v>
                </c:pt>
                <c:pt idx="300">
                  <c:v>1500</c:v>
                </c:pt>
                <c:pt idx="301">
                  <c:v>1505</c:v>
                </c:pt>
                <c:pt idx="302">
                  <c:v>1510</c:v>
                </c:pt>
                <c:pt idx="303">
                  <c:v>1515</c:v>
                </c:pt>
                <c:pt idx="304">
                  <c:v>1520</c:v>
                </c:pt>
                <c:pt idx="305">
                  <c:v>1525</c:v>
                </c:pt>
                <c:pt idx="306">
                  <c:v>1530</c:v>
                </c:pt>
                <c:pt idx="307">
                  <c:v>1535</c:v>
                </c:pt>
                <c:pt idx="308">
                  <c:v>1540</c:v>
                </c:pt>
                <c:pt idx="309">
                  <c:v>1545</c:v>
                </c:pt>
                <c:pt idx="310">
                  <c:v>1550</c:v>
                </c:pt>
                <c:pt idx="311">
                  <c:v>1555</c:v>
                </c:pt>
                <c:pt idx="312">
                  <c:v>1560</c:v>
                </c:pt>
                <c:pt idx="313">
                  <c:v>1565</c:v>
                </c:pt>
                <c:pt idx="314">
                  <c:v>1570</c:v>
                </c:pt>
                <c:pt idx="315">
                  <c:v>1575</c:v>
                </c:pt>
                <c:pt idx="316">
                  <c:v>1580</c:v>
                </c:pt>
                <c:pt idx="317">
                  <c:v>1585</c:v>
                </c:pt>
                <c:pt idx="318">
                  <c:v>1590</c:v>
                </c:pt>
                <c:pt idx="319">
                  <c:v>1595</c:v>
                </c:pt>
                <c:pt idx="320">
                  <c:v>1600</c:v>
                </c:pt>
                <c:pt idx="321">
                  <c:v>1605</c:v>
                </c:pt>
                <c:pt idx="322">
                  <c:v>1610</c:v>
                </c:pt>
                <c:pt idx="323">
                  <c:v>1615</c:v>
                </c:pt>
                <c:pt idx="324">
                  <c:v>1620</c:v>
                </c:pt>
                <c:pt idx="325">
                  <c:v>1625</c:v>
                </c:pt>
                <c:pt idx="326">
                  <c:v>1630</c:v>
                </c:pt>
                <c:pt idx="327">
                  <c:v>1635</c:v>
                </c:pt>
                <c:pt idx="328">
                  <c:v>1640</c:v>
                </c:pt>
                <c:pt idx="329">
                  <c:v>1645</c:v>
                </c:pt>
                <c:pt idx="330">
                  <c:v>1650</c:v>
                </c:pt>
                <c:pt idx="331">
                  <c:v>1655</c:v>
                </c:pt>
                <c:pt idx="332">
                  <c:v>1660</c:v>
                </c:pt>
                <c:pt idx="333">
                  <c:v>1665</c:v>
                </c:pt>
                <c:pt idx="334">
                  <c:v>1670</c:v>
                </c:pt>
                <c:pt idx="335">
                  <c:v>1675</c:v>
                </c:pt>
                <c:pt idx="336">
                  <c:v>1680</c:v>
                </c:pt>
                <c:pt idx="337">
                  <c:v>1685</c:v>
                </c:pt>
                <c:pt idx="338">
                  <c:v>1690</c:v>
                </c:pt>
                <c:pt idx="339">
                  <c:v>1695</c:v>
                </c:pt>
                <c:pt idx="340">
                  <c:v>1700</c:v>
                </c:pt>
                <c:pt idx="341">
                  <c:v>1705</c:v>
                </c:pt>
                <c:pt idx="342">
                  <c:v>1710</c:v>
                </c:pt>
                <c:pt idx="343">
                  <c:v>1715</c:v>
                </c:pt>
                <c:pt idx="344">
                  <c:v>1720</c:v>
                </c:pt>
                <c:pt idx="345">
                  <c:v>1725</c:v>
                </c:pt>
                <c:pt idx="346">
                  <c:v>1730</c:v>
                </c:pt>
                <c:pt idx="347">
                  <c:v>1735</c:v>
                </c:pt>
                <c:pt idx="348">
                  <c:v>1740</c:v>
                </c:pt>
                <c:pt idx="349">
                  <c:v>1745</c:v>
                </c:pt>
                <c:pt idx="350">
                  <c:v>1750</c:v>
                </c:pt>
                <c:pt idx="351">
                  <c:v>1755</c:v>
                </c:pt>
                <c:pt idx="352">
                  <c:v>1760</c:v>
                </c:pt>
                <c:pt idx="353">
                  <c:v>1765</c:v>
                </c:pt>
                <c:pt idx="354">
                  <c:v>1770</c:v>
                </c:pt>
                <c:pt idx="355">
                  <c:v>1775</c:v>
                </c:pt>
                <c:pt idx="356">
                  <c:v>1780</c:v>
                </c:pt>
                <c:pt idx="357">
                  <c:v>1785</c:v>
                </c:pt>
                <c:pt idx="358">
                  <c:v>1790</c:v>
                </c:pt>
                <c:pt idx="359">
                  <c:v>1795</c:v>
                </c:pt>
                <c:pt idx="360">
                  <c:v>1800</c:v>
                </c:pt>
                <c:pt idx="361">
                  <c:v>1805</c:v>
                </c:pt>
                <c:pt idx="362">
                  <c:v>1810</c:v>
                </c:pt>
                <c:pt idx="363">
                  <c:v>1815</c:v>
                </c:pt>
                <c:pt idx="364">
                  <c:v>1820</c:v>
                </c:pt>
                <c:pt idx="365">
                  <c:v>1825</c:v>
                </c:pt>
                <c:pt idx="366">
                  <c:v>1830</c:v>
                </c:pt>
                <c:pt idx="367">
                  <c:v>1835</c:v>
                </c:pt>
                <c:pt idx="368">
                  <c:v>1840</c:v>
                </c:pt>
                <c:pt idx="369">
                  <c:v>1845</c:v>
                </c:pt>
                <c:pt idx="370">
                  <c:v>1850</c:v>
                </c:pt>
                <c:pt idx="371">
                  <c:v>1855</c:v>
                </c:pt>
                <c:pt idx="372">
                  <c:v>1860</c:v>
                </c:pt>
                <c:pt idx="373">
                  <c:v>1865</c:v>
                </c:pt>
                <c:pt idx="374">
                  <c:v>1870</c:v>
                </c:pt>
                <c:pt idx="375">
                  <c:v>1875</c:v>
                </c:pt>
                <c:pt idx="376">
                  <c:v>1880</c:v>
                </c:pt>
                <c:pt idx="377">
                  <c:v>1885</c:v>
                </c:pt>
                <c:pt idx="378">
                  <c:v>1890</c:v>
                </c:pt>
                <c:pt idx="379">
                  <c:v>1895</c:v>
                </c:pt>
                <c:pt idx="380">
                  <c:v>1900</c:v>
                </c:pt>
                <c:pt idx="381">
                  <c:v>1905</c:v>
                </c:pt>
                <c:pt idx="382">
                  <c:v>1910</c:v>
                </c:pt>
                <c:pt idx="383">
                  <c:v>1915</c:v>
                </c:pt>
                <c:pt idx="384">
                  <c:v>1920</c:v>
                </c:pt>
                <c:pt idx="385">
                  <c:v>1925</c:v>
                </c:pt>
                <c:pt idx="386">
                  <c:v>1930</c:v>
                </c:pt>
                <c:pt idx="387">
                  <c:v>1935</c:v>
                </c:pt>
                <c:pt idx="388">
                  <c:v>1940</c:v>
                </c:pt>
                <c:pt idx="389">
                  <c:v>1945</c:v>
                </c:pt>
                <c:pt idx="390">
                  <c:v>1950</c:v>
                </c:pt>
                <c:pt idx="391">
                  <c:v>1955</c:v>
                </c:pt>
                <c:pt idx="392">
                  <c:v>1960</c:v>
                </c:pt>
                <c:pt idx="393">
                  <c:v>1965</c:v>
                </c:pt>
                <c:pt idx="394">
                  <c:v>1970</c:v>
                </c:pt>
                <c:pt idx="395">
                  <c:v>1975</c:v>
                </c:pt>
                <c:pt idx="396">
                  <c:v>1980</c:v>
                </c:pt>
                <c:pt idx="397">
                  <c:v>1985</c:v>
                </c:pt>
                <c:pt idx="398">
                  <c:v>1990</c:v>
                </c:pt>
                <c:pt idx="399">
                  <c:v>1995</c:v>
                </c:pt>
                <c:pt idx="400">
                  <c:v>2000</c:v>
                </c:pt>
                <c:pt idx="401">
                  <c:v>2005</c:v>
                </c:pt>
                <c:pt idx="402">
                  <c:v>2010</c:v>
                </c:pt>
                <c:pt idx="403">
                  <c:v>2015</c:v>
                </c:pt>
                <c:pt idx="404">
                  <c:v>2020</c:v>
                </c:pt>
                <c:pt idx="405">
                  <c:v>2025</c:v>
                </c:pt>
                <c:pt idx="406">
                  <c:v>2030</c:v>
                </c:pt>
                <c:pt idx="407">
                  <c:v>2035</c:v>
                </c:pt>
                <c:pt idx="408">
                  <c:v>2040</c:v>
                </c:pt>
                <c:pt idx="409">
                  <c:v>2045</c:v>
                </c:pt>
                <c:pt idx="410">
                  <c:v>2050</c:v>
                </c:pt>
                <c:pt idx="411">
                  <c:v>2055</c:v>
                </c:pt>
                <c:pt idx="412">
                  <c:v>2060</c:v>
                </c:pt>
                <c:pt idx="413">
                  <c:v>2065</c:v>
                </c:pt>
                <c:pt idx="414">
                  <c:v>2070</c:v>
                </c:pt>
                <c:pt idx="415">
                  <c:v>2075</c:v>
                </c:pt>
                <c:pt idx="416">
                  <c:v>2080</c:v>
                </c:pt>
                <c:pt idx="417">
                  <c:v>2085</c:v>
                </c:pt>
                <c:pt idx="418">
                  <c:v>2090</c:v>
                </c:pt>
                <c:pt idx="419">
                  <c:v>2095</c:v>
                </c:pt>
                <c:pt idx="420">
                  <c:v>2100</c:v>
                </c:pt>
                <c:pt idx="421">
                  <c:v>2105</c:v>
                </c:pt>
                <c:pt idx="422">
                  <c:v>2110</c:v>
                </c:pt>
                <c:pt idx="423">
                  <c:v>2115</c:v>
                </c:pt>
                <c:pt idx="424">
                  <c:v>2120</c:v>
                </c:pt>
                <c:pt idx="425">
                  <c:v>2125</c:v>
                </c:pt>
                <c:pt idx="426">
                  <c:v>2130</c:v>
                </c:pt>
                <c:pt idx="427">
                  <c:v>2135</c:v>
                </c:pt>
                <c:pt idx="428">
                  <c:v>2140</c:v>
                </c:pt>
                <c:pt idx="429">
                  <c:v>2145</c:v>
                </c:pt>
                <c:pt idx="430">
                  <c:v>2150</c:v>
                </c:pt>
                <c:pt idx="431">
                  <c:v>2155</c:v>
                </c:pt>
                <c:pt idx="432">
                  <c:v>2160</c:v>
                </c:pt>
                <c:pt idx="433">
                  <c:v>2165</c:v>
                </c:pt>
                <c:pt idx="434">
                  <c:v>2170</c:v>
                </c:pt>
                <c:pt idx="435">
                  <c:v>2175</c:v>
                </c:pt>
                <c:pt idx="436">
                  <c:v>2180</c:v>
                </c:pt>
                <c:pt idx="437">
                  <c:v>2185</c:v>
                </c:pt>
                <c:pt idx="438">
                  <c:v>2190</c:v>
                </c:pt>
                <c:pt idx="439">
                  <c:v>2195</c:v>
                </c:pt>
                <c:pt idx="440">
                  <c:v>2200</c:v>
                </c:pt>
                <c:pt idx="441">
                  <c:v>2205</c:v>
                </c:pt>
                <c:pt idx="442">
                  <c:v>2210</c:v>
                </c:pt>
                <c:pt idx="443">
                  <c:v>2215</c:v>
                </c:pt>
                <c:pt idx="444">
                  <c:v>2220</c:v>
                </c:pt>
                <c:pt idx="445">
                  <c:v>2225</c:v>
                </c:pt>
                <c:pt idx="446">
                  <c:v>2230</c:v>
                </c:pt>
                <c:pt idx="447">
                  <c:v>2235</c:v>
                </c:pt>
                <c:pt idx="448">
                  <c:v>2240</c:v>
                </c:pt>
                <c:pt idx="449">
                  <c:v>2245</c:v>
                </c:pt>
                <c:pt idx="450">
                  <c:v>2250</c:v>
                </c:pt>
                <c:pt idx="451">
                  <c:v>2255</c:v>
                </c:pt>
                <c:pt idx="452">
                  <c:v>2260</c:v>
                </c:pt>
                <c:pt idx="453">
                  <c:v>2265</c:v>
                </c:pt>
                <c:pt idx="454">
                  <c:v>2270</c:v>
                </c:pt>
                <c:pt idx="455">
                  <c:v>2275</c:v>
                </c:pt>
                <c:pt idx="456">
                  <c:v>2280</c:v>
                </c:pt>
                <c:pt idx="457">
                  <c:v>2285</c:v>
                </c:pt>
                <c:pt idx="458">
                  <c:v>2290</c:v>
                </c:pt>
                <c:pt idx="459">
                  <c:v>2295</c:v>
                </c:pt>
                <c:pt idx="460">
                  <c:v>2300</c:v>
                </c:pt>
                <c:pt idx="461">
                  <c:v>2305</c:v>
                </c:pt>
                <c:pt idx="462">
                  <c:v>2310</c:v>
                </c:pt>
                <c:pt idx="463">
                  <c:v>2315</c:v>
                </c:pt>
                <c:pt idx="464">
                  <c:v>2320</c:v>
                </c:pt>
                <c:pt idx="465">
                  <c:v>2325</c:v>
                </c:pt>
                <c:pt idx="466">
                  <c:v>2330</c:v>
                </c:pt>
                <c:pt idx="467">
                  <c:v>2335</c:v>
                </c:pt>
                <c:pt idx="468">
                  <c:v>2340</c:v>
                </c:pt>
                <c:pt idx="469">
                  <c:v>2345</c:v>
                </c:pt>
                <c:pt idx="470">
                  <c:v>2350</c:v>
                </c:pt>
                <c:pt idx="471">
                  <c:v>2355</c:v>
                </c:pt>
                <c:pt idx="472">
                  <c:v>2360</c:v>
                </c:pt>
                <c:pt idx="473">
                  <c:v>2365</c:v>
                </c:pt>
                <c:pt idx="474">
                  <c:v>2370</c:v>
                </c:pt>
                <c:pt idx="475">
                  <c:v>2375</c:v>
                </c:pt>
                <c:pt idx="476">
                  <c:v>2380</c:v>
                </c:pt>
                <c:pt idx="477">
                  <c:v>2385</c:v>
                </c:pt>
                <c:pt idx="478">
                  <c:v>2390</c:v>
                </c:pt>
                <c:pt idx="479">
                  <c:v>2395</c:v>
                </c:pt>
                <c:pt idx="480">
                  <c:v>2400</c:v>
                </c:pt>
                <c:pt idx="481">
                  <c:v>2405</c:v>
                </c:pt>
                <c:pt idx="482">
                  <c:v>2410</c:v>
                </c:pt>
                <c:pt idx="483">
                  <c:v>2415</c:v>
                </c:pt>
                <c:pt idx="484">
                  <c:v>2420</c:v>
                </c:pt>
                <c:pt idx="485">
                  <c:v>2425</c:v>
                </c:pt>
                <c:pt idx="486">
                  <c:v>2430</c:v>
                </c:pt>
                <c:pt idx="487">
                  <c:v>2435</c:v>
                </c:pt>
                <c:pt idx="488">
                  <c:v>2440</c:v>
                </c:pt>
                <c:pt idx="489">
                  <c:v>2445</c:v>
                </c:pt>
                <c:pt idx="490">
                  <c:v>2450</c:v>
                </c:pt>
                <c:pt idx="491">
                  <c:v>2455</c:v>
                </c:pt>
                <c:pt idx="492">
                  <c:v>2460</c:v>
                </c:pt>
                <c:pt idx="493">
                  <c:v>2465</c:v>
                </c:pt>
                <c:pt idx="494">
                  <c:v>2470</c:v>
                </c:pt>
                <c:pt idx="495">
                  <c:v>2475</c:v>
                </c:pt>
                <c:pt idx="496">
                  <c:v>2480</c:v>
                </c:pt>
                <c:pt idx="497">
                  <c:v>2485</c:v>
                </c:pt>
                <c:pt idx="498">
                  <c:v>2490</c:v>
                </c:pt>
                <c:pt idx="499">
                  <c:v>2495</c:v>
                </c:pt>
                <c:pt idx="500">
                  <c:v>2500</c:v>
                </c:pt>
                <c:pt idx="501">
                  <c:v>2505</c:v>
                </c:pt>
                <c:pt idx="502">
                  <c:v>2510</c:v>
                </c:pt>
                <c:pt idx="503">
                  <c:v>2515</c:v>
                </c:pt>
                <c:pt idx="504">
                  <c:v>2520</c:v>
                </c:pt>
                <c:pt idx="505">
                  <c:v>2525</c:v>
                </c:pt>
                <c:pt idx="506">
                  <c:v>2530</c:v>
                </c:pt>
                <c:pt idx="507">
                  <c:v>2535</c:v>
                </c:pt>
                <c:pt idx="508">
                  <c:v>2540</c:v>
                </c:pt>
                <c:pt idx="509">
                  <c:v>2545</c:v>
                </c:pt>
                <c:pt idx="510">
                  <c:v>2550</c:v>
                </c:pt>
                <c:pt idx="511">
                  <c:v>2555</c:v>
                </c:pt>
                <c:pt idx="512">
                  <c:v>2560</c:v>
                </c:pt>
                <c:pt idx="513">
                  <c:v>2565</c:v>
                </c:pt>
                <c:pt idx="514">
                  <c:v>2570</c:v>
                </c:pt>
                <c:pt idx="515">
                  <c:v>2575</c:v>
                </c:pt>
                <c:pt idx="516">
                  <c:v>2580</c:v>
                </c:pt>
                <c:pt idx="517">
                  <c:v>2585</c:v>
                </c:pt>
                <c:pt idx="518">
                  <c:v>2590</c:v>
                </c:pt>
                <c:pt idx="519">
                  <c:v>2595</c:v>
                </c:pt>
                <c:pt idx="520">
                  <c:v>2600</c:v>
                </c:pt>
                <c:pt idx="521">
                  <c:v>2605</c:v>
                </c:pt>
                <c:pt idx="522">
                  <c:v>2610</c:v>
                </c:pt>
                <c:pt idx="523">
                  <c:v>2615</c:v>
                </c:pt>
                <c:pt idx="524">
                  <c:v>2620</c:v>
                </c:pt>
                <c:pt idx="525">
                  <c:v>2625</c:v>
                </c:pt>
                <c:pt idx="526">
                  <c:v>2630</c:v>
                </c:pt>
                <c:pt idx="527">
                  <c:v>2635</c:v>
                </c:pt>
                <c:pt idx="528">
                  <c:v>2640</c:v>
                </c:pt>
                <c:pt idx="529">
                  <c:v>2645</c:v>
                </c:pt>
                <c:pt idx="530">
                  <c:v>2650</c:v>
                </c:pt>
                <c:pt idx="531">
                  <c:v>2655</c:v>
                </c:pt>
                <c:pt idx="532">
                  <c:v>2660</c:v>
                </c:pt>
                <c:pt idx="533">
                  <c:v>2665</c:v>
                </c:pt>
                <c:pt idx="534">
                  <c:v>2670</c:v>
                </c:pt>
                <c:pt idx="535">
                  <c:v>2675</c:v>
                </c:pt>
                <c:pt idx="536">
                  <c:v>2680</c:v>
                </c:pt>
                <c:pt idx="537">
                  <c:v>2685</c:v>
                </c:pt>
                <c:pt idx="538">
                  <c:v>2690</c:v>
                </c:pt>
                <c:pt idx="539">
                  <c:v>2695</c:v>
                </c:pt>
                <c:pt idx="540">
                  <c:v>2700</c:v>
                </c:pt>
                <c:pt idx="541">
                  <c:v>2705</c:v>
                </c:pt>
                <c:pt idx="542">
                  <c:v>2710</c:v>
                </c:pt>
                <c:pt idx="543">
                  <c:v>2715</c:v>
                </c:pt>
                <c:pt idx="544">
                  <c:v>2720</c:v>
                </c:pt>
                <c:pt idx="545">
                  <c:v>2725</c:v>
                </c:pt>
                <c:pt idx="546">
                  <c:v>2730</c:v>
                </c:pt>
                <c:pt idx="547">
                  <c:v>2735</c:v>
                </c:pt>
                <c:pt idx="548">
                  <c:v>2740</c:v>
                </c:pt>
                <c:pt idx="549">
                  <c:v>2745</c:v>
                </c:pt>
                <c:pt idx="550">
                  <c:v>2750</c:v>
                </c:pt>
                <c:pt idx="551">
                  <c:v>2755</c:v>
                </c:pt>
                <c:pt idx="552">
                  <c:v>2760</c:v>
                </c:pt>
                <c:pt idx="553">
                  <c:v>2765</c:v>
                </c:pt>
                <c:pt idx="554">
                  <c:v>2770</c:v>
                </c:pt>
                <c:pt idx="555">
                  <c:v>2775</c:v>
                </c:pt>
                <c:pt idx="556">
                  <c:v>2780</c:v>
                </c:pt>
                <c:pt idx="557">
                  <c:v>2785</c:v>
                </c:pt>
                <c:pt idx="558">
                  <c:v>2790</c:v>
                </c:pt>
                <c:pt idx="559">
                  <c:v>2795</c:v>
                </c:pt>
                <c:pt idx="560">
                  <c:v>2800</c:v>
                </c:pt>
                <c:pt idx="561">
                  <c:v>2805</c:v>
                </c:pt>
                <c:pt idx="562">
                  <c:v>2810</c:v>
                </c:pt>
                <c:pt idx="563">
                  <c:v>2815</c:v>
                </c:pt>
                <c:pt idx="564">
                  <c:v>2820</c:v>
                </c:pt>
                <c:pt idx="565">
                  <c:v>2825</c:v>
                </c:pt>
                <c:pt idx="566">
                  <c:v>2830</c:v>
                </c:pt>
                <c:pt idx="567">
                  <c:v>2835</c:v>
                </c:pt>
                <c:pt idx="568">
                  <c:v>2840</c:v>
                </c:pt>
                <c:pt idx="569">
                  <c:v>2845</c:v>
                </c:pt>
                <c:pt idx="570">
                  <c:v>2850</c:v>
                </c:pt>
                <c:pt idx="571">
                  <c:v>2855</c:v>
                </c:pt>
                <c:pt idx="572">
                  <c:v>2860</c:v>
                </c:pt>
                <c:pt idx="573">
                  <c:v>2865</c:v>
                </c:pt>
                <c:pt idx="574">
                  <c:v>2870</c:v>
                </c:pt>
                <c:pt idx="575">
                  <c:v>2875</c:v>
                </c:pt>
                <c:pt idx="576">
                  <c:v>2880</c:v>
                </c:pt>
                <c:pt idx="577">
                  <c:v>2885</c:v>
                </c:pt>
                <c:pt idx="578">
                  <c:v>2890</c:v>
                </c:pt>
                <c:pt idx="579">
                  <c:v>2895</c:v>
                </c:pt>
                <c:pt idx="580">
                  <c:v>2900</c:v>
                </c:pt>
                <c:pt idx="581">
                  <c:v>2905</c:v>
                </c:pt>
                <c:pt idx="582">
                  <c:v>2910</c:v>
                </c:pt>
                <c:pt idx="583">
                  <c:v>2915</c:v>
                </c:pt>
                <c:pt idx="584">
                  <c:v>2920</c:v>
                </c:pt>
                <c:pt idx="585">
                  <c:v>2925</c:v>
                </c:pt>
                <c:pt idx="586">
                  <c:v>2930</c:v>
                </c:pt>
                <c:pt idx="587">
                  <c:v>2935</c:v>
                </c:pt>
                <c:pt idx="588">
                  <c:v>2940</c:v>
                </c:pt>
                <c:pt idx="589">
                  <c:v>2945</c:v>
                </c:pt>
                <c:pt idx="590">
                  <c:v>2950</c:v>
                </c:pt>
                <c:pt idx="591">
                  <c:v>2955</c:v>
                </c:pt>
                <c:pt idx="592">
                  <c:v>2960</c:v>
                </c:pt>
                <c:pt idx="593">
                  <c:v>2965</c:v>
                </c:pt>
                <c:pt idx="594">
                  <c:v>2970</c:v>
                </c:pt>
                <c:pt idx="595">
                  <c:v>2975</c:v>
                </c:pt>
                <c:pt idx="596">
                  <c:v>2980</c:v>
                </c:pt>
                <c:pt idx="597">
                  <c:v>2985</c:v>
                </c:pt>
                <c:pt idx="598">
                  <c:v>2990</c:v>
                </c:pt>
                <c:pt idx="599">
                  <c:v>2995</c:v>
                </c:pt>
                <c:pt idx="600">
                  <c:v>3000</c:v>
                </c:pt>
                <c:pt idx="601">
                  <c:v>3005</c:v>
                </c:pt>
                <c:pt idx="602">
                  <c:v>3010</c:v>
                </c:pt>
                <c:pt idx="603">
                  <c:v>3015</c:v>
                </c:pt>
                <c:pt idx="604">
                  <c:v>3020</c:v>
                </c:pt>
                <c:pt idx="605">
                  <c:v>3025</c:v>
                </c:pt>
                <c:pt idx="606">
                  <c:v>3030</c:v>
                </c:pt>
                <c:pt idx="607">
                  <c:v>3035</c:v>
                </c:pt>
                <c:pt idx="608">
                  <c:v>3040</c:v>
                </c:pt>
                <c:pt idx="609">
                  <c:v>3045</c:v>
                </c:pt>
                <c:pt idx="610">
                  <c:v>3050</c:v>
                </c:pt>
                <c:pt idx="611">
                  <c:v>3055</c:v>
                </c:pt>
                <c:pt idx="612">
                  <c:v>3060</c:v>
                </c:pt>
                <c:pt idx="613">
                  <c:v>3065</c:v>
                </c:pt>
                <c:pt idx="614">
                  <c:v>3070</c:v>
                </c:pt>
                <c:pt idx="615">
                  <c:v>3075</c:v>
                </c:pt>
                <c:pt idx="616">
                  <c:v>3080</c:v>
                </c:pt>
                <c:pt idx="617">
                  <c:v>3085</c:v>
                </c:pt>
                <c:pt idx="618">
                  <c:v>3090</c:v>
                </c:pt>
                <c:pt idx="619">
                  <c:v>3095</c:v>
                </c:pt>
                <c:pt idx="620">
                  <c:v>3100</c:v>
                </c:pt>
                <c:pt idx="621">
                  <c:v>3105</c:v>
                </c:pt>
                <c:pt idx="622">
                  <c:v>3110</c:v>
                </c:pt>
                <c:pt idx="623">
                  <c:v>3115</c:v>
                </c:pt>
                <c:pt idx="624">
                  <c:v>3120</c:v>
                </c:pt>
                <c:pt idx="625">
                  <c:v>3125</c:v>
                </c:pt>
                <c:pt idx="626">
                  <c:v>3130</c:v>
                </c:pt>
                <c:pt idx="627">
                  <c:v>3135</c:v>
                </c:pt>
                <c:pt idx="628">
                  <c:v>3140</c:v>
                </c:pt>
                <c:pt idx="629">
                  <c:v>3145</c:v>
                </c:pt>
                <c:pt idx="630">
                  <c:v>3150</c:v>
                </c:pt>
                <c:pt idx="631">
                  <c:v>3155</c:v>
                </c:pt>
                <c:pt idx="632">
                  <c:v>3160</c:v>
                </c:pt>
                <c:pt idx="633">
                  <c:v>3165</c:v>
                </c:pt>
                <c:pt idx="634">
                  <c:v>3170</c:v>
                </c:pt>
                <c:pt idx="635">
                  <c:v>3175</c:v>
                </c:pt>
                <c:pt idx="636">
                  <c:v>3180</c:v>
                </c:pt>
                <c:pt idx="637">
                  <c:v>3185</c:v>
                </c:pt>
                <c:pt idx="638">
                  <c:v>3190</c:v>
                </c:pt>
                <c:pt idx="639">
                  <c:v>3195</c:v>
                </c:pt>
                <c:pt idx="640">
                  <c:v>3200</c:v>
                </c:pt>
                <c:pt idx="641">
                  <c:v>3205</c:v>
                </c:pt>
                <c:pt idx="642">
                  <c:v>3210</c:v>
                </c:pt>
                <c:pt idx="643">
                  <c:v>3215</c:v>
                </c:pt>
                <c:pt idx="644">
                  <c:v>3220</c:v>
                </c:pt>
                <c:pt idx="645">
                  <c:v>3225</c:v>
                </c:pt>
                <c:pt idx="646">
                  <c:v>3230</c:v>
                </c:pt>
                <c:pt idx="647">
                  <c:v>3235</c:v>
                </c:pt>
                <c:pt idx="648">
                  <c:v>3240</c:v>
                </c:pt>
                <c:pt idx="649">
                  <c:v>3245</c:v>
                </c:pt>
                <c:pt idx="650">
                  <c:v>3250</c:v>
                </c:pt>
                <c:pt idx="651">
                  <c:v>3255</c:v>
                </c:pt>
                <c:pt idx="652">
                  <c:v>3260</c:v>
                </c:pt>
                <c:pt idx="653">
                  <c:v>3265</c:v>
                </c:pt>
                <c:pt idx="654">
                  <c:v>3270</c:v>
                </c:pt>
                <c:pt idx="655">
                  <c:v>3275</c:v>
                </c:pt>
                <c:pt idx="656">
                  <c:v>3280</c:v>
                </c:pt>
                <c:pt idx="657">
                  <c:v>3285</c:v>
                </c:pt>
                <c:pt idx="658">
                  <c:v>3290</c:v>
                </c:pt>
                <c:pt idx="659">
                  <c:v>3295</c:v>
                </c:pt>
                <c:pt idx="660">
                  <c:v>3300</c:v>
                </c:pt>
                <c:pt idx="661">
                  <c:v>3305</c:v>
                </c:pt>
                <c:pt idx="662">
                  <c:v>3310</c:v>
                </c:pt>
                <c:pt idx="663">
                  <c:v>3315</c:v>
                </c:pt>
                <c:pt idx="664">
                  <c:v>3320</c:v>
                </c:pt>
                <c:pt idx="665">
                  <c:v>3325</c:v>
                </c:pt>
                <c:pt idx="666">
                  <c:v>3330</c:v>
                </c:pt>
                <c:pt idx="667">
                  <c:v>3335</c:v>
                </c:pt>
                <c:pt idx="668">
                  <c:v>3340</c:v>
                </c:pt>
                <c:pt idx="669">
                  <c:v>3345</c:v>
                </c:pt>
                <c:pt idx="670">
                  <c:v>3350</c:v>
                </c:pt>
                <c:pt idx="671">
                  <c:v>3355</c:v>
                </c:pt>
                <c:pt idx="672">
                  <c:v>3360</c:v>
                </c:pt>
                <c:pt idx="673">
                  <c:v>3365</c:v>
                </c:pt>
                <c:pt idx="674">
                  <c:v>3370</c:v>
                </c:pt>
                <c:pt idx="675">
                  <c:v>3375</c:v>
                </c:pt>
                <c:pt idx="676">
                  <c:v>3380</c:v>
                </c:pt>
                <c:pt idx="677">
                  <c:v>3385</c:v>
                </c:pt>
                <c:pt idx="678">
                  <c:v>3390</c:v>
                </c:pt>
                <c:pt idx="679">
                  <c:v>3395</c:v>
                </c:pt>
                <c:pt idx="680">
                  <c:v>3400</c:v>
                </c:pt>
                <c:pt idx="681">
                  <c:v>3405</c:v>
                </c:pt>
                <c:pt idx="682">
                  <c:v>3410</c:v>
                </c:pt>
                <c:pt idx="683">
                  <c:v>3415</c:v>
                </c:pt>
                <c:pt idx="684">
                  <c:v>3420</c:v>
                </c:pt>
                <c:pt idx="685">
                  <c:v>3425</c:v>
                </c:pt>
                <c:pt idx="686">
                  <c:v>3430</c:v>
                </c:pt>
                <c:pt idx="687">
                  <c:v>3435</c:v>
                </c:pt>
                <c:pt idx="688">
                  <c:v>3440</c:v>
                </c:pt>
                <c:pt idx="689">
                  <c:v>3445</c:v>
                </c:pt>
                <c:pt idx="690">
                  <c:v>3450</c:v>
                </c:pt>
                <c:pt idx="691">
                  <c:v>3455</c:v>
                </c:pt>
                <c:pt idx="692">
                  <c:v>3460</c:v>
                </c:pt>
                <c:pt idx="693">
                  <c:v>3465</c:v>
                </c:pt>
                <c:pt idx="694">
                  <c:v>3470</c:v>
                </c:pt>
                <c:pt idx="695">
                  <c:v>3475</c:v>
                </c:pt>
                <c:pt idx="696">
                  <c:v>3480</c:v>
                </c:pt>
                <c:pt idx="697">
                  <c:v>3485</c:v>
                </c:pt>
                <c:pt idx="698">
                  <c:v>3490</c:v>
                </c:pt>
                <c:pt idx="699">
                  <c:v>3495</c:v>
                </c:pt>
                <c:pt idx="700">
                  <c:v>3500</c:v>
                </c:pt>
                <c:pt idx="701">
                  <c:v>3505</c:v>
                </c:pt>
                <c:pt idx="702">
                  <c:v>3510</c:v>
                </c:pt>
                <c:pt idx="703">
                  <c:v>3515</c:v>
                </c:pt>
                <c:pt idx="704">
                  <c:v>3520</c:v>
                </c:pt>
                <c:pt idx="705">
                  <c:v>3525</c:v>
                </c:pt>
                <c:pt idx="706">
                  <c:v>3530</c:v>
                </c:pt>
                <c:pt idx="707">
                  <c:v>3535</c:v>
                </c:pt>
                <c:pt idx="708">
                  <c:v>3540</c:v>
                </c:pt>
                <c:pt idx="709">
                  <c:v>3545</c:v>
                </c:pt>
                <c:pt idx="710">
                  <c:v>3550</c:v>
                </c:pt>
                <c:pt idx="711">
                  <c:v>3555</c:v>
                </c:pt>
                <c:pt idx="712">
                  <c:v>3560</c:v>
                </c:pt>
                <c:pt idx="713">
                  <c:v>3565</c:v>
                </c:pt>
                <c:pt idx="714">
                  <c:v>3570</c:v>
                </c:pt>
                <c:pt idx="715">
                  <c:v>3575</c:v>
                </c:pt>
                <c:pt idx="716">
                  <c:v>3580</c:v>
                </c:pt>
                <c:pt idx="717">
                  <c:v>3585</c:v>
                </c:pt>
                <c:pt idx="718">
                  <c:v>3590</c:v>
                </c:pt>
                <c:pt idx="719">
                  <c:v>3595</c:v>
                </c:pt>
                <c:pt idx="720">
                  <c:v>3600</c:v>
                </c:pt>
                <c:pt idx="721">
                  <c:v>3605</c:v>
                </c:pt>
                <c:pt idx="722">
                  <c:v>3610</c:v>
                </c:pt>
                <c:pt idx="723">
                  <c:v>3615</c:v>
                </c:pt>
                <c:pt idx="724">
                  <c:v>3620</c:v>
                </c:pt>
                <c:pt idx="725">
                  <c:v>3625</c:v>
                </c:pt>
                <c:pt idx="726">
                  <c:v>3630</c:v>
                </c:pt>
                <c:pt idx="727">
                  <c:v>3635</c:v>
                </c:pt>
                <c:pt idx="728">
                  <c:v>3640</c:v>
                </c:pt>
                <c:pt idx="729">
                  <c:v>3645</c:v>
                </c:pt>
                <c:pt idx="730">
                  <c:v>3650</c:v>
                </c:pt>
                <c:pt idx="731">
                  <c:v>3655</c:v>
                </c:pt>
                <c:pt idx="732">
                  <c:v>3660</c:v>
                </c:pt>
                <c:pt idx="733">
                  <c:v>3665</c:v>
                </c:pt>
                <c:pt idx="734">
                  <c:v>3670</c:v>
                </c:pt>
                <c:pt idx="735">
                  <c:v>3675</c:v>
                </c:pt>
                <c:pt idx="736">
                  <c:v>3680</c:v>
                </c:pt>
                <c:pt idx="737">
                  <c:v>3685</c:v>
                </c:pt>
                <c:pt idx="738">
                  <c:v>3690</c:v>
                </c:pt>
                <c:pt idx="739">
                  <c:v>3695</c:v>
                </c:pt>
                <c:pt idx="740">
                  <c:v>3700</c:v>
                </c:pt>
                <c:pt idx="741">
                  <c:v>3705</c:v>
                </c:pt>
                <c:pt idx="742">
                  <c:v>3710</c:v>
                </c:pt>
                <c:pt idx="743">
                  <c:v>3715</c:v>
                </c:pt>
                <c:pt idx="744">
                  <c:v>3720</c:v>
                </c:pt>
                <c:pt idx="745">
                  <c:v>3725</c:v>
                </c:pt>
                <c:pt idx="746">
                  <c:v>3730</c:v>
                </c:pt>
                <c:pt idx="747">
                  <c:v>3735</c:v>
                </c:pt>
                <c:pt idx="748">
                  <c:v>3740</c:v>
                </c:pt>
                <c:pt idx="749">
                  <c:v>3745</c:v>
                </c:pt>
                <c:pt idx="750">
                  <c:v>3750</c:v>
                </c:pt>
                <c:pt idx="751">
                  <c:v>3755</c:v>
                </c:pt>
                <c:pt idx="752">
                  <c:v>3760</c:v>
                </c:pt>
                <c:pt idx="753">
                  <c:v>3765</c:v>
                </c:pt>
                <c:pt idx="754">
                  <c:v>3770</c:v>
                </c:pt>
                <c:pt idx="755">
                  <c:v>3775</c:v>
                </c:pt>
                <c:pt idx="756">
                  <c:v>3780</c:v>
                </c:pt>
                <c:pt idx="757">
                  <c:v>3785</c:v>
                </c:pt>
                <c:pt idx="758">
                  <c:v>3790</c:v>
                </c:pt>
                <c:pt idx="759">
                  <c:v>3795</c:v>
                </c:pt>
                <c:pt idx="760">
                  <c:v>3800</c:v>
                </c:pt>
                <c:pt idx="761">
                  <c:v>3805</c:v>
                </c:pt>
                <c:pt idx="762">
                  <c:v>3810</c:v>
                </c:pt>
                <c:pt idx="763">
                  <c:v>3815</c:v>
                </c:pt>
                <c:pt idx="764">
                  <c:v>3820</c:v>
                </c:pt>
                <c:pt idx="765">
                  <c:v>3825</c:v>
                </c:pt>
                <c:pt idx="766">
                  <c:v>3830</c:v>
                </c:pt>
                <c:pt idx="767">
                  <c:v>3835</c:v>
                </c:pt>
                <c:pt idx="768">
                  <c:v>3840</c:v>
                </c:pt>
                <c:pt idx="769">
                  <c:v>3845</c:v>
                </c:pt>
                <c:pt idx="770">
                  <c:v>3850</c:v>
                </c:pt>
                <c:pt idx="771">
                  <c:v>3855</c:v>
                </c:pt>
                <c:pt idx="772">
                  <c:v>3860</c:v>
                </c:pt>
                <c:pt idx="773">
                  <c:v>3865</c:v>
                </c:pt>
                <c:pt idx="774">
                  <c:v>3870</c:v>
                </c:pt>
                <c:pt idx="775">
                  <c:v>3875</c:v>
                </c:pt>
                <c:pt idx="776">
                  <c:v>3880</c:v>
                </c:pt>
                <c:pt idx="777">
                  <c:v>3885</c:v>
                </c:pt>
                <c:pt idx="778">
                  <c:v>3890</c:v>
                </c:pt>
                <c:pt idx="779">
                  <c:v>3895</c:v>
                </c:pt>
                <c:pt idx="780">
                  <c:v>3900</c:v>
                </c:pt>
                <c:pt idx="781">
                  <c:v>3905</c:v>
                </c:pt>
                <c:pt idx="782">
                  <c:v>3910</c:v>
                </c:pt>
                <c:pt idx="783">
                  <c:v>3915</c:v>
                </c:pt>
                <c:pt idx="784">
                  <c:v>3920</c:v>
                </c:pt>
                <c:pt idx="785">
                  <c:v>3925</c:v>
                </c:pt>
                <c:pt idx="786">
                  <c:v>3930</c:v>
                </c:pt>
                <c:pt idx="787">
                  <c:v>3935</c:v>
                </c:pt>
                <c:pt idx="788">
                  <c:v>3940</c:v>
                </c:pt>
                <c:pt idx="789">
                  <c:v>3945</c:v>
                </c:pt>
                <c:pt idx="790">
                  <c:v>3950</c:v>
                </c:pt>
                <c:pt idx="791">
                  <c:v>3955</c:v>
                </c:pt>
                <c:pt idx="792">
                  <c:v>3960</c:v>
                </c:pt>
                <c:pt idx="793">
                  <c:v>3965</c:v>
                </c:pt>
                <c:pt idx="794">
                  <c:v>3970</c:v>
                </c:pt>
                <c:pt idx="795">
                  <c:v>3975</c:v>
                </c:pt>
                <c:pt idx="796">
                  <c:v>3980</c:v>
                </c:pt>
                <c:pt idx="797">
                  <c:v>3985</c:v>
                </c:pt>
                <c:pt idx="798">
                  <c:v>3990</c:v>
                </c:pt>
                <c:pt idx="799">
                  <c:v>3995</c:v>
                </c:pt>
                <c:pt idx="800">
                  <c:v>4000</c:v>
                </c:pt>
                <c:pt idx="801">
                  <c:v>4005</c:v>
                </c:pt>
                <c:pt idx="802">
                  <c:v>4010</c:v>
                </c:pt>
                <c:pt idx="803">
                  <c:v>4015</c:v>
                </c:pt>
                <c:pt idx="804">
                  <c:v>4020</c:v>
                </c:pt>
                <c:pt idx="805">
                  <c:v>4025</c:v>
                </c:pt>
                <c:pt idx="806">
                  <c:v>4030</c:v>
                </c:pt>
                <c:pt idx="807">
                  <c:v>4035</c:v>
                </c:pt>
                <c:pt idx="808">
                  <c:v>4040</c:v>
                </c:pt>
                <c:pt idx="809">
                  <c:v>4045</c:v>
                </c:pt>
                <c:pt idx="810">
                  <c:v>4050</c:v>
                </c:pt>
                <c:pt idx="811">
                  <c:v>4055</c:v>
                </c:pt>
                <c:pt idx="812">
                  <c:v>4060</c:v>
                </c:pt>
                <c:pt idx="813">
                  <c:v>4065</c:v>
                </c:pt>
                <c:pt idx="814">
                  <c:v>4070</c:v>
                </c:pt>
                <c:pt idx="815">
                  <c:v>4075</c:v>
                </c:pt>
                <c:pt idx="816">
                  <c:v>4080</c:v>
                </c:pt>
                <c:pt idx="817">
                  <c:v>4085</c:v>
                </c:pt>
                <c:pt idx="818">
                  <c:v>4090</c:v>
                </c:pt>
                <c:pt idx="819">
                  <c:v>4095</c:v>
                </c:pt>
                <c:pt idx="820">
                  <c:v>4100</c:v>
                </c:pt>
                <c:pt idx="821">
                  <c:v>4105</c:v>
                </c:pt>
                <c:pt idx="822">
                  <c:v>4110</c:v>
                </c:pt>
                <c:pt idx="823">
                  <c:v>4115</c:v>
                </c:pt>
                <c:pt idx="824">
                  <c:v>4120</c:v>
                </c:pt>
                <c:pt idx="825">
                  <c:v>4125</c:v>
                </c:pt>
                <c:pt idx="826">
                  <c:v>4130</c:v>
                </c:pt>
                <c:pt idx="827">
                  <c:v>4135</c:v>
                </c:pt>
                <c:pt idx="828">
                  <c:v>4140</c:v>
                </c:pt>
                <c:pt idx="829">
                  <c:v>4145</c:v>
                </c:pt>
                <c:pt idx="830">
                  <c:v>4150</c:v>
                </c:pt>
                <c:pt idx="831">
                  <c:v>4155</c:v>
                </c:pt>
                <c:pt idx="832">
                  <c:v>4160</c:v>
                </c:pt>
                <c:pt idx="833">
                  <c:v>4165</c:v>
                </c:pt>
                <c:pt idx="834">
                  <c:v>4170</c:v>
                </c:pt>
                <c:pt idx="835">
                  <c:v>4175</c:v>
                </c:pt>
                <c:pt idx="836">
                  <c:v>4180</c:v>
                </c:pt>
                <c:pt idx="837">
                  <c:v>4185</c:v>
                </c:pt>
                <c:pt idx="838">
                  <c:v>4190</c:v>
                </c:pt>
                <c:pt idx="839">
                  <c:v>4195</c:v>
                </c:pt>
                <c:pt idx="840">
                  <c:v>4200</c:v>
                </c:pt>
                <c:pt idx="841">
                  <c:v>4205</c:v>
                </c:pt>
                <c:pt idx="842">
                  <c:v>4210</c:v>
                </c:pt>
                <c:pt idx="843">
                  <c:v>4215</c:v>
                </c:pt>
                <c:pt idx="844">
                  <c:v>4220</c:v>
                </c:pt>
                <c:pt idx="845">
                  <c:v>4225</c:v>
                </c:pt>
                <c:pt idx="846">
                  <c:v>4230</c:v>
                </c:pt>
                <c:pt idx="847">
                  <c:v>4235</c:v>
                </c:pt>
                <c:pt idx="848">
                  <c:v>4240</c:v>
                </c:pt>
                <c:pt idx="849">
                  <c:v>4245</c:v>
                </c:pt>
                <c:pt idx="850">
                  <c:v>4250</c:v>
                </c:pt>
                <c:pt idx="851">
                  <c:v>4255</c:v>
                </c:pt>
                <c:pt idx="852">
                  <c:v>4260</c:v>
                </c:pt>
                <c:pt idx="853">
                  <c:v>4265</c:v>
                </c:pt>
                <c:pt idx="854">
                  <c:v>4270</c:v>
                </c:pt>
                <c:pt idx="855">
                  <c:v>4275</c:v>
                </c:pt>
                <c:pt idx="856">
                  <c:v>4280</c:v>
                </c:pt>
                <c:pt idx="857">
                  <c:v>4285</c:v>
                </c:pt>
                <c:pt idx="858">
                  <c:v>4290</c:v>
                </c:pt>
                <c:pt idx="859">
                  <c:v>4295</c:v>
                </c:pt>
                <c:pt idx="860">
                  <c:v>4300</c:v>
                </c:pt>
                <c:pt idx="861">
                  <c:v>4305</c:v>
                </c:pt>
                <c:pt idx="862">
                  <c:v>4310</c:v>
                </c:pt>
                <c:pt idx="863">
                  <c:v>4315</c:v>
                </c:pt>
                <c:pt idx="864">
                  <c:v>4320</c:v>
                </c:pt>
                <c:pt idx="865">
                  <c:v>4325</c:v>
                </c:pt>
                <c:pt idx="866">
                  <c:v>4330</c:v>
                </c:pt>
                <c:pt idx="867">
                  <c:v>4335</c:v>
                </c:pt>
                <c:pt idx="868">
                  <c:v>4340</c:v>
                </c:pt>
                <c:pt idx="869">
                  <c:v>4345</c:v>
                </c:pt>
                <c:pt idx="870">
                  <c:v>4350</c:v>
                </c:pt>
                <c:pt idx="871">
                  <c:v>4355</c:v>
                </c:pt>
                <c:pt idx="872">
                  <c:v>4360</c:v>
                </c:pt>
                <c:pt idx="873">
                  <c:v>4365</c:v>
                </c:pt>
                <c:pt idx="874">
                  <c:v>4370</c:v>
                </c:pt>
                <c:pt idx="875">
                  <c:v>4375</c:v>
                </c:pt>
                <c:pt idx="876">
                  <c:v>4380</c:v>
                </c:pt>
                <c:pt idx="877">
                  <c:v>4385</c:v>
                </c:pt>
                <c:pt idx="878">
                  <c:v>4390</c:v>
                </c:pt>
                <c:pt idx="879">
                  <c:v>4395</c:v>
                </c:pt>
                <c:pt idx="880">
                  <c:v>4400</c:v>
                </c:pt>
                <c:pt idx="881">
                  <c:v>4405</c:v>
                </c:pt>
                <c:pt idx="882">
                  <c:v>4410</c:v>
                </c:pt>
                <c:pt idx="883">
                  <c:v>4415</c:v>
                </c:pt>
                <c:pt idx="884">
                  <c:v>4420</c:v>
                </c:pt>
                <c:pt idx="885">
                  <c:v>4425</c:v>
                </c:pt>
                <c:pt idx="886">
                  <c:v>4430</c:v>
                </c:pt>
                <c:pt idx="887">
                  <c:v>4435</c:v>
                </c:pt>
                <c:pt idx="888">
                  <c:v>4440</c:v>
                </c:pt>
                <c:pt idx="889">
                  <c:v>4445</c:v>
                </c:pt>
                <c:pt idx="890">
                  <c:v>4450</c:v>
                </c:pt>
                <c:pt idx="891">
                  <c:v>4455</c:v>
                </c:pt>
                <c:pt idx="892">
                  <c:v>4460</c:v>
                </c:pt>
                <c:pt idx="893">
                  <c:v>4465</c:v>
                </c:pt>
                <c:pt idx="894">
                  <c:v>4470</c:v>
                </c:pt>
                <c:pt idx="895">
                  <c:v>4475</c:v>
                </c:pt>
                <c:pt idx="896">
                  <c:v>4480</c:v>
                </c:pt>
                <c:pt idx="897">
                  <c:v>4485</c:v>
                </c:pt>
                <c:pt idx="898">
                  <c:v>4490</c:v>
                </c:pt>
                <c:pt idx="899">
                  <c:v>4495</c:v>
                </c:pt>
                <c:pt idx="900">
                  <c:v>4500</c:v>
                </c:pt>
                <c:pt idx="901">
                  <c:v>4505</c:v>
                </c:pt>
                <c:pt idx="902">
                  <c:v>4510</c:v>
                </c:pt>
                <c:pt idx="903">
                  <c:v>4515</c:v>
                </c:pt>
                <c:pt idx="904">
                  <c:v>4520</c:v>
                </c:pt>
                <c:pt idx="905">
                  <c:v>4525</c:v>
                </c:pt>
                <c:pt idx="906">
                  <c:v>4530</c:v>
                </c:pt>
                <c:pt idx="907">
                  <c:v>4535</c:v>
                </c:pt>
                <c:pt idx="908">
                  <c:v>4540</c:v>
                </c:pt>
                <c:pt idx="909">
                  <c:v>4545</c:v>
                </c:pt>
                <c:pt idx="910">
                  <c:v>4550</c:v>
                </c:pt>
                <c:pt idx="911">
                  <c:v>4555</c:v>
                </c:pt>
                <c:pt idx="912">
                  <c:v>4560</c:v>
                </c:pt>
                <c:pt idx="913">
                  <c:v>4565</c:v>
                </c:pt>
                <c:pt idx="914">
                  <c:v>4570</c:v>
                </c:pt>
                <c:pt idx="915">
                  <c:v>4575</c:v>
                </c:pt>
                <c:pt idx="916">
                  <c:v>4580</c:v>
                </c:pt>
                <c:pt idx="917">
                  <c:v>4585</c:v>
                </c:pt>
                <c:pt idx="918">
                  <c:v>4590</c:v>
                </c:pt>
                <c:pt idx="919">
                  <c:v>4595</c:v>
                </c:pt>
                <c:pt idx="920">
                  <c:v>4600</c:v>
                </c:pt>
                <c:pt idx="921">
                  <c:v>4605</c:v>
                </c:pt>
                <c:pt idx="922">
                  <c:v>4610</c:v>
                </c:pt>
                <c:pt idx="923">
                  <c:v>4615</c:v>
                </c:pt>
                <c:pt idx="924">
                  <c:v>4620</c:v>
                </c:pt>
                <c:pt idx="925">
                  <c:v>4625</c:v>
                </c:pt>
                <c:pt idx="926">
                  <c:v>4630</c:v>
                </c:pt>
                <c:pt idx="927">
                  <c:v>4635</c:v>
                </c:pt>
                <c:pt idx="928">
                  <c:v>4640</c:v>
                </c:pt>
                <c:pt idx="929">
                  <c:v>4645</c:v>
                </c:pt>
                <c:pt idx="930">
                  <c:v>4650</c:v>
                </c:pt>
                <c:pt idx="931">
                  <c:v>4655</c:v>
                </c:pt>
                <c:pt idx="932">
                  <c:v>4660</c:v>
                </c:pt>
                <c:pt idx="933">
                  <c:v>4665</c:v>
                </c:pt>
                <c:pt idx="934">
                  <c:v>4670</c:v>
                </c:pt>
                <c:pt idx="935">
                  <c:v>4675</c:v>
                </c:pt>
                <c:pt idx="936">
                  <c:v>4680</c:v>
                </c:pt>
                <c:pt idx="937">
                  <c:v>4685</c:v>
                </c:pt>
                <c:pt idx="938">
                  <c:v>4690</c:v>
                </c:pt>
                <c:pt idx="939">
                  <c:v>4695</c:v>
                </c:pt>
                <c:pt idx="940">
                  <c:v>4700</c:v>
                </c:pt>
                <c:pt idx="941">
                  <c:v>4705</c:v>
                </c:pt>
                <c:pt idx="942">
                  <c:v>4710</c:v>
                </c:pt>
                <c:pt idx="943">
                  <c:v>4715</c:v>
                </c:pt>
                <c:pt idx="944">
                  <c:v>4720</c:v>
                </c:pt>
                <c:pt idx="945">
                  <c:v>4725</c:v>
                </c:pt>
                <c:pt idx="946">
                  <c:v>4730</c:v>
                </c:pt>
                <c:pt idx="947">
                  <c:v>4735</c:v>
                </c:pt>
                <c:pt idx="948">
                  <c:v>4740</c:v>
                </c:pt>
                <c:pt idx="949">
                  <c:v>4745</c:v>
                </c:pt>
                <c:pt idx="950">
                  <c:v>4750</c:v>
                </c:pt>
                <c:pt idx="951">
                  <c:v>4755</c:v>
                </c:pt>
                <c:pt idx="952">
                  <c:v>4760</c:v>
                </c:pt>
                <c:pt idx="953">
                  <c:v>4765</c:v>
                </c:pt>
                <c:pt idx="954">
                  <c:v>4770</c:v>
                </c:pt>
                <c:pt idx="955">
                  <c:v>4775</c:v>
                </c:pt>
                <c:pt idx="956">
                  <c:v>4780</c:v>
                </c:pt>
                <c:pt idx="957">
                  <c:v>4785</c:v>
                </c:pt>
                <c:pt idx="958">
                  <c:v>4790</c:v>
                </c:pt>
                <c:pt idx="959">
                  <c:v>4795</c:v>
                </c:pt>
                <c:pt idx="960">
                  <c:v>4800</c:v>
                </c:pt>
                <c:pt idx="961">
                  <c:v>4805</c:v>
                </c:pt>
                <c:pt idx="962">
                  <c:v>4810</c:v>
                </c:pt>
                <c:pt idx="963">
                  <c:v>4815</c:v>
                </c:pt>
                <c:pt idx="964">
                  <c:v>4820</c:v>
                </c:pt>
                <c:pt idx="965">
                  <c:v>4825</c:v>
                </c:pt>
                <c:pt idx="966">
                  <c:v>4830</c:v>
                </c:pt>
                <c:pt idx="967">
                  <c:v>4835</c:v>
                </c:pt>
                <c:pt idx="968">
                  <c:v>4840</c:v>
                </c:pt>
                <c:pt idx="969">
                  <c:v>4845</c:v>
                </c:pt>
                <c:pt idx="970">
                  <c:v>4850</c:v>
                </c:pt>
                <c:pt idx="971">
                  <c:v>4855</c:v>
                </c:pt>
                <c:pt idx="972">
                  <c:v>4860</c:v>
                </c:pt>
                <c:pt idx="973">
                  <c:v>4865</c:v>
                </c:pt>
                <c:pt idx="974">
                  <c:v>4870</c:v>
                </c:pt>
                <c:pt idx="975">
                  <c:v>4875</c:v>
                </c:pt>
                <c:pt idx="976">
                  <c:v>4880</c:v>
                </c:pt>
                <c:pt idx="977">
                  <c:v>4885</c:v>
                </c:pt>
                <c:pt idx="978">
                  <c:v>4890</c:v>
                </c:pt>
                <c:pt idx="979">
                  <c:v>4895</c:v>
                </c:pt>
                <c:pt idx="980">
                  <c:v>4900</c:v>
                </c:pt>
                <c:pt idx="981">
                  <c:v>4905</c:v>
                </c:pt>
                <c:pt idx="982">
                  <c:v>4910</c:v>
                </c:pt>
                <c:pt idx="983">
                  <c:v>4915</c:v>
                </c:pt>
                <c:pt idx="984">
                  <c:v>4920</c:v>
                </c:pt>
                <c:pt idx="985">
                  <c:v>4925</c:v>
                </c:pt>
                <c:pt idx="986">
                  <c:v>4930</c:v>
                </c:pt>
                <c:pt idx="987">
                  <c:v>4935</c:v>
                </c:pt>
                <c:pt idx="988">
                  <c:v>4940</c:v>
                </c:pt>
                <c:pt idx="989">
                  <c:v>4945</c:v>
                </c:pt>
                <c:pt idx="990">
                  <c:v>4950</c:v>
                </c:pt>
                <c:pt idx="991">
                  <c:v>4955</c:v>
                </c:pt>
                <c:pt idx="992">
                  <c:v>4960</c:v>
                </c:pt>
                <c:pt idx="993">
                  <c:v>4965</c:v>
                </c:pt>
                <c:pt idx="994">
                  <c:v>4970</c:v>
                </c:pt>
                <c:pt idx="995">
                  <c:v>4975</c:v>
                </c:pt>
                <c:pt idx="996">
                  <c:v>4980</c:v>
                </c:pt>
                <c:pt idx="997">
                  <c:v>4985</c:v>
                </c:pt>
                <c:pt idx="998">
                  <c:v>4990</c:v>
                </c:pt>
                <c:pt idx="999">
                  <c:v>4995</c:v>
                </c:pt>
                <c:pt idx="1000">
                  <c:v>5000</c:v>
                </c:pt>
                <c:pt idx="1001">
                  <c:v>5005</c:v>
                </c:pt>
                <c:pt idx="1002">
                  <c:v>5010</c:v>
                </c:pt>
                <c:pt idx="1003">
                  <c:v>5015</c:v>
                </c:pt>
                <c:pt idx="1004">
                  <c:v>5020</c:v>
                </c:pt>
                <c:pt idx="1005">
                  <c:v>5025</c:v>
                </c:pt>
                <c:pt idx="1006">
                  <c:v>5030</c:v>
                </c:pt>
                <c:pt idx="1007">
                  <c:v>5035</c:v>
                </c:pt>
                <c:pt idx="1008">
                  <c:v>5040</c:v>
                </c:pt>
                <c:pt idx="1009">
                  <c:v>5045</c:v>
                </c:pt>
                <c:pt idx="1010">
                  <c:v>5050</c:v>
                </c:pt>
                <c:pt idx="1011">
                  <c:v>5055</c:v>
                </c:pt>
                <c:pt idx="1012">
                  <c:v>5060</c:v>
                </c:pt>
                <c:pt idx="1013">
                  <c:v>5065</c:v>
                </c:pt>
                <c:pt idx="1014">
                  <c:v>5070</c:v>
                </c:pt>
                <c:pt idx="1015">
                  <c:v>5075</c:v>
                </c:pt>
                <c:pt idx="1016">
                  <c:v>5080</c:v>
                </c:pt>
                <c:pt idx="1017">
                  <c:v>5085</c:v>
                </c:pt>
                <c:pt idx="1018">
                  <c:v>5090</c:v>
                </c:pt>
                <c:pt idx="1019">
                  <c:v>5095</c:v>
                </c:pt>
                <c:pt idx="1020">
                  <c:v>5100</c:v>
                </c:pt>
                <c:pt idx="1021">
                  <c:v>5105</c:v>
                </c:pt>
                <c:pt idx="1022">
                  <c:v>5110</c:v>
                </c:pt>
                <c:pt idx="1023">
                  <c:v>5115</c:v>
                </c:pt>
                <c:pt idx="1024">
                  <c:v>5120</c:v>
                </c:pt>
                <c:pt idx="1025">
                  <c:v>5125</c:v>
                </c:pt>
                <c:pt idx="1026">
                  <c:v>5130</c:v>
                </c:pt>
                <c:pt idx="1027">
                  <c:v>5135</c:v>
                </c:pt>
                <c:pt idx="1028">
                  <c:v>5140</c:v>
                </c:pt>
                <c:pt idx="1029">
                  <c:v>5145</c:v>
                </c:pt>
                <c:pt idx="1030">
                  <c:v>5150</c:v>
                </c:pt>
                <c:pt idx="1031">
                  <c:v>5155</c:v>
                </c:pt>
                <c:pt idx="1032">
                  <c:v>5160</c:v>
                </c:pt>
                <c:pt idx="1033">
                  <c:v>5165</c:v>
                </c:pt>
                <c:pt idx="1034">
                  <c:v>5170</c:v>
                </c:pt>
                <c:pt idx="1035">
                  <c:v>5175</c:v>
                </c:pt>
                <c:pt idx="1036">
                  <c:v>5180</c:v>
                </c:pt>
                <c:pt idx="1037">
                  <c:v>5185</c:v>
                </c:pt>
                <c:pt idx="1038">
                  <c:v>5190</c:v>
                </c:pt>
                <c:pt idx="1039">
                  <c:v>5195</c:v>
                </c:pt>
                <c:pt idx="1040">
                  <c:v>5200</c:v>
                </c:pt>
                <c:pt idx="1041">
                  <c:v>5205</c:v>
                </c:pt>
                <c:pt idx="1042">
                  <c:v>5210</c:v>
                </c:pt>
                <c:pt idx="1043">
                  <c:v>5215</c:v>
                </c:pt>
                <c:pt idx="1044">
                  <c:v>5220</c:v>
                </c:pt>
                <c:pt idx="1045">
                  <c:v>5225</c:v>
                </c:pt>
                <c:pt idx="1046">
                  <c:v>5230</c:v>
                </c:pt>
                <c:pt idx="1047">
                  <c:v>5235</c:v>
                </c:pt>
                <c:pt idx="1048">
                  <c:v>5240</c:v>
                </c:pt>
                <c:pt idx="1049">
                  <c:v>5245</c:v>
                </c:pt>
                <c:pt idx="1050">
                  <c:v>5250</c:v>
                </c:pt>
                <c:pt idx="1051">
                  <c:v>5255</c:v>
                </c:pt>
                <c:pt idx="1052">
                  <c:v>5260</c:v>
                </c:pt>
                <c:pt idx="1053">
                  <c:v>5265</c:v>
                </c:pt>
                <c:pt idx="1054">
                  <c:v>5270</c:v>
                </c:pt>
                <c:pt idx="1055">
                  <c:v>5275</c:v>
                </c:pt>
                <c:pt idx="1056">
                  <c:v>5280</c:v>
                </c:pt>
                <c:pt idx="1057">
                  <c:v>5285</c:v>
                </c:pt>
                <c:pt idx="1058">
                  <c:v>5290</c:v>
                </c:pt>
                <c:pt idx="1059">
                  <c:v>5295</c:v>
                </c:pt>
                <c:pt idx="1060">
                  <c:v>5300</c:v>
                </c:pt>
                <c:pt idx="1061">
                  <c:v>5305</c:v>
                </c:pt>
                <c:pt idx="1062">
                  <c:v>5310</c:v>
                </c:pt>
                <c:pt idx="1063">
                  <c:v>5315</c:v>
                </c:pt>
                <c:pt idx="1064">
                  <c:v>5320</c:v>
                </c:pt>
                <c:pt idx="1065">
                  <c:v>5325</c:v>
                </c:pt>
                <c:pt idx="1066">
                  <c:v>5330</c:v>
                </c:pt>
                <c:pt idx="1067">
                  <c:v>5335</c:v>
                </c:pt>
                <c:pt idx="1068">
                  <c:v>5340</c:v>
                </c:pt>
                <c:pt idx="1069">
                  <c:v>5345</c:v>
                </c:pt>
                <c:pt idx="1070">
                  <c:v>5350</c:v>
                </c:pt>
                <c:pt idx="1071">
                  <c:v>5355</c:v>
                </c:pt>
                <c:pt idx="1072">
                  <c:v>5360</c:v>
                </c:pt>
                <c:pt idx="1073">
                  <c:v>5365</c:v>
                </c:pt>
                <c:pt idx="1074">
                  <c:v>5370</c:v>
                </c:pt>
                <c:pt idx="1075">
                  <c:v>5375</c:v>
                </c:pt>
                <c:pt idx="1076">
                  <c:v>5380</c:v>
                </c:pt>
                <c:pt idx="1077">
                  <c:v>5385</c:v>
                </c:pt>
                <c:pt idx="1078">
                  <c:v>5390</c:v>
                </c:pt>
                <c:pt idx="1079">
                  <c:v>5395</c:v>
                </c:pt>
                <c:pt idx="1080">
                  <c:v>5400</c:v>
                </c:pt>
                <c:pt idx="1081">
                  <c:v>5405</c:v>
                </c:pt>
                <c:pt idx="1082">
                  <c:v>5410</c:v>
                </c:pt>
                <c:pt idx="1083">
                  <c:v>5415</c:v>
                </c:pt>
                <c:pt idx="1084">
                  <c:v>5420</c:v>
                </c:pt>
                <c:pt idx="1085">
                  <c:v>5425</c:v>
                </c:pt>
                <c:pt idx="1086">
                  <c:v>5430</c:v>
                </c:pt>
                <c:pt idx="1087">
                  <c:v>5435</c:v>
                </c:pt>
                <c:pt idx="1088">
                  <c:v>5440</c:v>
                </c:pt>
                <c:pt idx="1089">
                  <c:v>5445</c:v>
                </c:pt>
                <c:pt idx="1090">
                  <c:v>5450</c:v>
                </c:pt>
                <c:pt idx="1091">
                  <c:v>5455</c:v>
                </c:pt>
                <c:pt idx="1092">
                  <c:v>5460</c:v>
                </c:pt>
                <c:pt idx="1093">
                  <c:v>5465</c:v>
                </c:pt>
                <c:pt idx="1094">
                  <c:v>5470</c:v>
                </c:pt>
                <c:pt idx="1095">
                  <c:v>5475</c:v>
                </c:pt>
                <c:pt idx="1096">
                  <c:v>5480</c:v>
                </c:pt>
                <c:pt idx="1097">
                  <c:v>5485</c:v>
                </c:pt>
                <c:pt idx="1098">
                  <c:v>5490</c:v>
                </c:pt>
                <c:pt idx="1099">
                  <c:v>5495</c:v>
                </c:pt>
                <c:pt idx="1100">
                  <c:v>5500</c:v>
                </c:pt>
                <c:pt idx="1101">
                  <c:v>5505</c:v>
                </c:pt>
                <c:pt idx="1102">
                  <c:v>5510</c:v>
                </c:pt>
                <c:pt idx="1103">
                  <c:v>5515</c:v>
                </c:pt>
                <c:pt idx="1104">
                  <c:v>5520</c:v>
                </c:pt>
                <c:pt idx="1105">
                  <c:v>5525</c:v>
                </c:pt>
                <c:pt idx="1106">
                  <c:v>5530</c:v>
                </c:pt>
                <c:pt idx="1107">
                  <c:v>5535</c:v>
                </c:pt>
                <c:pt idx="1108">
                  <c:v>5540</c:v>
                </c:pt>
                <c:pt idx="1109">
                  <c:v>5545</c:v>
                </c:pt>
                <c:pt idx="1110">
                  <c:v>5550</c:v>
                </c:pt>
                <c:pt idx="1111">
                  <c:v>5555</c:v>
                </c:pt>
                <c:pt idx="1112">
                  <c:v>5560</c:v>
                </c:pt>
                <c:pt idx="1113">
                  <c:v>5565</c:v>
                </c:pt>
                <c:pt idx="1114">
                  <c:v>5570</c:v>
                </c:pt>
                <c:pt idx="1115">
                  <c:v>5575</c:v>
                </c:pt>
                <c:pt idx="1116">
                  <c:v>5580</c:v>
                </c:pt>
                <c:pt idx="1117">
                  <c:v>5585</c:v>
                </c:pt>
                <c:pt idx="1118">
                  <c:v>5590</c:v>
                </c:pt>
                <c:pt idx="1119">
                  <c:v>5595</c:v>
                </c:pt>
                <c:pt idx="1120">
                  <c:v>5600</c:v>
                </c:pt>
                <c:pt idx="1121">
                  <c:v>5605</c:v>
                </c:pt>
                <c:pt idx="1122">
                  <c:v>5610</c:v>
                </c:pt>
                <c:pt idx="1123">
                  <c:v>5615</c:v>
                </c:pt>
                <c:pt idx="1124">
                  <c:v>5620</c:v>
                </c:pt>
                <c:pt idx="1125">
                  <c:v>5625</c:v>
                </c:pt>
                <c:pt idx="1126">
                  <c:v>5630</c:v>
                </c:pt>
                <c:pt idx="1127">
                  <c:v>5635</c:v>
                </c:pt>
                <c:pt idx="1128">
                  <c:v>5640</c:v>
                </c:pt>
                <c:pt idx="1129">
                  <c:v>5645</c:v>
                </c:pt>
                <c:pt idx="1130">
                  <c:v>5650</c:v>
                </c:pt>
                <c:pt idx="1131">
                  <c:v>5655</c:v>
                </c:pt>
                <c:pt idx="1132">
                  <c:v>5660</c:v>
                </c:pt>
                <c:pt idx="1133">
                  <c:v>5665</c:v>
                </c:pt>
                <c:pt idx="1134">
                  <c:v>5670</c:v>
                </c:pt>
                <c:pt idx="1135">
                  <c:v>5675</c:v>
                </c:pt>
                <c:pt idx="1136">
                  <c:v>5680</c:v>
                </c:pt>
                <c:pt idx="1137">
                  <c:v>5685</c:v>
                </c:pt>
                <c:pt idx="1138">
                  <c:v>5690</c:v>
                </c:pt>
                <c:pt idx="1139">
                  <c:v>5695</c:v>
                </c:pt>
                <c:pt idx="1140">
                  <c:v>5700</c:v>
                </c:pt>
                <c:pt idx="1141">
                  <c:v>5705</c:v>
                </c:pt>
                <c:pt idx="1142">
                  <c:v>5710</c:v>
                </c:pt>
                <c:pt idx="1143">
                  <c:v>5715</c:v>
                </c:pt>
                <c:pt idx="1144">
                  <c:v>5720</c:v>
                </c:pt>
                <c:pt idx="1145">
                  <c:v>5725</c:v>
                </c:pt>
                <c:pt idx="1146">
                  <c:v>5730</c:v>
                </c:pt>
                <c:pt idx="1147">
                  <c:v>5735</c:v>
                </c:pt>
                <c:pt idx="1148">
                  <c:v>5740</c:v>
                </c:pt>
                <c:pt idx="1149">
                  <c:v>5745</c:v>
                </c:pt>
                <c:pt idx="1150">
                  <c:v>5750</c:v>
                </c:pt>
                <c:pt idx="1151">
                  <c:v>5755</c:v>
                </c:pt>
                <c:pt idx="1152">
                  <c:v>5760</c:v>
                </c:pt>
                <c:pt idx="1153">
                  <c:v>5765</c:v>
                </c:pt>
                <c:pt idx="1154">
                  <c:v>5770</c:v>
                </c:pt>
                <c:pt idx="1155">
                  <c:v>5775</c:v>
                </c:pt>
                <c:pt idx="1156">
                  <c:v>5780</c:v>
                </c:pt>
                <c:pt idx="1157">
                  <c:v>5785</c:v>
                </c:pt>
                <c:pt idx="1158">
                  <c:v>5790</c:v>
                </c:pt>
                <c:pt idx="1159">
                  <c:v>5795</c:v>
                </c:pt>
                <c:pt idx="1160">
                  <c:v>5800</c:v>
                </c:pt>
                <c:pt idx="1161">
                  <c:v>5805</c:v>
                </c:pt>
                <c:pt idx="1162">
                  <c:v>5810</c:v>
                </c:pt>
                <c:pt idx="1163">
                  <c:v>5815</c:v>
                </c:pt>
                <c:pt idx="1164">
                  <c:v>5820</c:v>
                </c:pt>
                <c:pt idx="1165">
                  <c:v>5825</c:v>
                </c:pt>
                <c:pt idx="1166">
                  <c:v>5830</c:v>
                </c:pt>
                <c:pt idx="1167">
                  <c:v>5835</c:v>
                </c:pt>
                <c:pt idx="1168">
                  <c:v>5840</c:v>
                </c:pt>
                <c:pt idx="1169">
                  <c:v>5845</c:v>
                </c:pt>
                <c:pt idx="1170">
                  <c:v>5850</c:v>
                </c:pt>
                <c:pt idx="1171">
                  <c:v>5855</c:v>
                </c:pt>
                <c:pt idx="1172">
                  <c:v>5860</c:v>
                </c:pt>
                <c:pt idx="1173">
                  <c:v>5865</c:v>
                </c:pt>
                <c:pt idx="1174">
                  <c:v>5870</c:v>
                </c:pt>
                <c:pt idx="1175">
                  <c:v>5875</c:v>
                </c:pt>
                <c:pt idx="1176">
                  <c:v>5880</c:v>
                </c:pt>
                <c:pt idx="1177">
                  <c:v>5885</c:v>
                </c:pt>
                <c:pt idx="1178">
                  <c:v>5890</c:v>
                </c:pt>
                <c:pt idx="1179">
                  <c:v>5895</c:v>
                </c:pt>
                <c:pt idx="1180">
                  <c:v>5900</c:v>
                </c:pt>
                <c:pt idx="1181">
                  <c:v>5905</c:v>
                </c:pt>
                <c:pt idx="1182">
                  <c:v>5910</c:v>
                </c:pt>
                <c:pt idx="1183">
                  <c:v>5915</c:v>
                </c:pt>
                <c:pt idx="1184">
                  <c:v>5920</c:v>
                </c:pt>
                <c:pt idx="1185">
                  <c:v>5925</c:v>
                </c:pt>
                <c:pt idx="1186">
                  <c:v>5930</c:v>
                </c:pt>
                <c:pt idx="1187">
                  <c:v>5935</c:v>
                </c:pt>
                <c:pt idx="1188">
                  <c:v>5940</c:v>
                </c:pt>
                <c:pt idx="1189">
                  <c:v>5945</c:v>
                </c:pt>
                <c:pt idx="1190">
                  <c:v>5950</c:v>
                </c:pt>
                <c:pt idx="1191">
                  <c:v>5955</c:v>
                </c:pt>
                <c:pt idx="1192">
                  <c:v>5960</c:v>
                </c:pt>
                <c:pt idx="1193">
                  <c:v>5965</c:v>
                </c:pt>
                <c:pt idx="1194">
                  <c:v>5970</c:v>
                </c:pt>
                <c:pt idx="1195">
                  <c:v>5975</c:v>
                </c:pt>
                <c:pt idx="1196">
                  <c:v>5980</c:v>
                </c:pt>
                <c:pt idx="1197">
                  <c:v>5985</c:v>
                </c:pt>
                <c:pt idx="1198">
                  <c:v>5990</c:v>
                </c:pt>
                <c:pt idx="1199">
                  <c:v>5995</c:v>
                </c:pt>
                <c:pt idx="1200">
                  <c:v>6000</c:v>
                </c:pt>
                <c:pt idx="1201">
                  <c:v>6005</c:v>
                </c:pt>
                <c:pt idx="1202">
                  <c:v>6010</c:v>
                </c:pt>
                <c:pt idx="1203">
                  <c:v>6015</c:v>
                </c:pt>
                <c:pt idx="1204">
                  <c:v>6020</c:v>
                </c:pt>
                <c:pt idx="1205">
                  <c:v>6025</c:v>
                </c:pt>
                <c:pt idx="1206">
                  <c:v>6030</c:v>
                </c:pt>
                <c:pt idx="1207">
                  <c:v>6035</c:v>
                </c:pt>
                <c:pt idx="1208">
                  <c:v>6040</c:v>
                </c:pt>
                <c:pt idx="1209">
                  <c:v>6045</c:v>
                </c:pt>
                <c:pt idx="1210">
                  <c:v>6050</c:v>
                </c:pt>
                <c:pt idx="1211">
                  <c:v>6055</c:v>
                </c:pt>
                <c:pt idx="1212">
                  <c:v>6060</c:v>
                </c:pt>
                <c:pt idx="1213">
                  <c:v>6065</c:v>
                </c:pt>
                <c:pt idx="1214">
                  <c:v>6070</c:v>
                </c:pt>
                <c:pt idx="1215">
                  <c:v>6075</c:v>
                </c:pt>
                <c:pt idx="1216">
                  <c:v>6080</c:v>
                </c:pt>
                <c:pt idx="1217">
                  <c:v>6085</c:v>
                </c:pt>
                <c:pt idx="1218">
                  <c:v>6090</c:v>
                </c:pt>
                <c:pt idx="1219">
                  <c:v>6095</c:v>
                </c:pt>
                <c:pt idx="1220">
                  <c:v>6100</c:v>
                </c:pt>
                <c:pt idx="1221">
                  <c:v>6105</c:v>
                </c:pt>
                <c:pt idx="1222">
                  <c:v>6110</c:v>
                </c:pt>
                <c:pt idx="1223">
                  <c:v>6115</c:v>
                </c:pt>
                <c:pt idx="1224">
                  <c:v>6120</c:v>
                </c:pt>
                <c:pt idx="1225">
                  <c:v>6125</c:v>
                </c:pt>
                <c:pt idx="1226">
                  <c:v>6130</c:v>
                </c:pt>
                <c:pt idx="1227">
                  <c:v>6135</c:v>
                </c:pt>
                <c:pt idx="1228">
                  <c:v>6140</c:v>
                </c:pt>
                <c:pt idx="1229">
                  <c:v>6145</c:v>
                </c:pt>
                <c:pt idx="1230">
                  <c:v>6150</c:v>
                </c:pt>
                <c:pt idx="1231">
                  <c:v>6155</c:v>
                </c:pt>
                <c:pt idx="1232">
                  <c:v>6160</c:v>
                </c:pt>
                <c:pt idx="1233">
                  <c:v>6165</c:v>
                </c:pt>
                <c:pt idx="1234">
                  <c:v>6170</c:v>
                </c:pt>
                <c:pt idx="1235">
                  <c:v>6175</c:v>
                </c:pt>
                <c:pt idx="1236">
                  <c:v>6180</c:v>
                </c:pt>
                <c:pt idx="1237">
                  <c:v>6185</c:v>
                </c:pt>
                <c:pt idx="1238">
                  <c:v>6190</c:v>
                </c:pt>
                <c:pt idx="1239">
                  <c:v>6195</c:v>
                </c:pt>
                <c:pt idx="1240">
                  <c:v>6200</c:v>
                </c:pt>
                <c:pt idx="1241">
                  <c:v>6205</c:v>
                </c:pt>
                <c:pt idx="1242">
                  <c:v>6210</c:v>
                </c:pt>
                <c:pt idx="1243">
                  <c:v>6215</c:v>
                </c:pt>
                <c:pt idx="1244">
                  <c:v>6220</c:v>
                </c:pt>
                <c:pt idx="1245">
                  <c:v>6225</c:v>
                </c:pt>
                <c:pt idx="1246">
                  <c:v>6230</c:v>
                </c:pt>
                <c:pt idx="1247">
                  <c:v>6235</c:v>
                </c:pt>
                <c:pt idx="1248">
                  <c:v>6240</c:v>
                </c:pt>
                <c:pt idx="1249">
                  <c:v>6245</c:v>
                </c:pt>
                <c:pt idx="1250">
                  <c:v>6250</c:v>
                </c:pt>
                <c:pt idx="1251">
                  <c:v>6255</c:v>
                </c:pt>
                <c:pt idx="1252">
                  <c:v>6260</c:v>
                </c:pt>
                <c:pt idx="1253">
                  <c:v>6265</c:v>
                </c:pt>
                <c:pt idx="1254">
                  <c:v>6270</c:v>
                </c:pt>
                <c:pt idx="1255">
                  <c:v>6275</c:v>
                </c:pt>
                <c:pt idx="1256">
                  <c:v>6280</c:v>
                </c:pt>
                <c:pt idx="1257">
                  <c:v>6285</c:v>
                </c:pt>
                <c:pt idx="1258">
                  <c:v>6290</c:v>
                </c:pt>
                <c:pt idx="1259">
                  <c:v>6295</c:v>
                </c:pt>
                <c:pt idx="1260">
                  <c:v>6300</c:v>
                </c:pt>
                <c:pt idx="1261">
                  <c:v>6305</c:v>
                </c:pt>
                <c:pt idx="1262">
                  <c:v>6310</c:v>
                </c:pt>
                <c:pt idx="1263">
                  <c:v>6315</c:v>
                </c:pt>
                <c:pt idx="1264">
                  <c:v>6320</c:v>
                </c:pt>
                <c:pt idx="1265">
                  <c:v>6325</c:v>
                </c:pt>
                <c:pt idx="1266">
                  <c:v>6330</c:v>
                </c:pt>
                <c:pt idx="1267">
                  <c:v>6335</c:v>
                </c:pt>
                <c:pt idx="1268">
                  <c:v>6340</c:v>
                </c:pt>
                <c:pt idx="1269">
                  <c:v>6345</c:v>
                </c:pt>
                <c:pt idx="1270">
                  <c:v>6350</c:v>
                </c:pt>
                <c:pt idx="1271">
                  <c:v>6355</c:v>
                </c:pt>
                <c:pt idx="1272">
                  <c:v>6360</c:v>
                </c:pt>
                <c:pt idx="1273">
                  <c:v>6365</c:v>
                </c:pt>
                <c:pt idx="1274">
                  <c:v>6370</c:v>
                </c:pt>
                <c:pt idx="1275">
                  <c:v>6375</c:v>
                </c:pt>
                <c:pt idx="1276">
                  <c:v>6380</c:v>
                </c:pt>
                <c:pt idx="1277">
                  <c:v>6385</c:v>
                </c:pt>
                <c:pt idx="1278">
                  <c:v>6390</c:v>
                </c:pt>
                <c:pt idx="1279">
                  <c:v>6395</c:v>
                </c:pt>
                <c:pt idx="1280">
                  <c:v>6400</c:v>
                </c:pt>
                <c:pt idx="1281">
                  <c:v>6405</c:v>
                </c:pt>
                <c:pt idx="1282">
                  <c:v>6410</c:v>
                </c:pt>
                <c:pt idx="1283">
                  <c:v>6415</c:v>
                </c:pt>
                <c:pt idx="1284">
                  <c:v>6420</c:v>
                </c:pt>
                <c:pt idx="1285">
                  <c:v>6425</c:v>
                </c:pt>
                <c:pt idx="1286">
                  <c:v>6430</c:v>
                </c:pt>
                <c:pt idx="1287">
                  <c:v>6435</c:v>
                </c:pt>
                <c:pt idx="1288">
                  <c:v>6440</c:v>
                </c:pt>
                <c:pt idx="1289">
                  <c:v>6445</c:v>
                </c:pt>
                <c:pt idx="1290">
                  <c:v>6450</c:v>
                </c:pt>
                <c:pt idx="1291">
                  <c:v>6455</c:v>
                </c:pt>
                <c:pt idx="1292">
                  <c:v>6460</c:v>
                </c:pt>
                <c:pt idx="1293">
                  <c:v>6465</c:v>
                </c:pt>
                <c:pt idx="1294">
                  <c:v>6470</c:v>
                </c:pt>
                <c:pt idx="1295">
                  <c:v>6475</c:v>
                </c:pt>
                <c:pt idx="1296">
                  <c:v>6480</c:v>
                </c:pt>
                <c:pt idx="1297">
                  <c:v>6485</c:v>
                </c:pt>
                <c:pt idx="1298">
                  <c:v>6490</c:v>
                </c:pt>
                <c:pt idx="1299">
                  <c:v>6495</c:v>
                </c:pt>
                <c:pt idx="1300">
                  <c:v>6500</c:v>
                </c:pt>
                <c:pt idx="1301">
                  <c:v>6505</c:v>
                </c:pt>
                <c:pt idx="1302">
                  <c:v>6510</c:v>
                </c:pt>
                <c:pt idx="1303">
                  <c:v>6515</c:v>
                </c:pt>
                <c:pt idx="1304">
                  <c:v>6520</c:v>
                </c:pt>
                <c:pt idx="1305">
                  <c:v>6525</c:v>
                </c:pt>
                <c:pt idx="1306">
                  <c:v>6530</c:v>
                </c:pt>
                <c:pt idx="1307">
                  <c:v>6535</c:v>
                </c:pt>
                <c:pt idx="1308">
                  <c:v>6540</c:v>
                </c:pt>
                <c:pt idx="1309">
                  <c:v>6545</c:v>
                </c:pt>
                <c:pt idx="1310">
                  <c:v>6550</c:v>
                </c:pt>
                <c:pt idx="1311">
                  <c:v>6555</c:v>
                </c:pt>
                <c:pt idx="1312">
                  <c:v>6560</c:v>
                </c:pt>
                <c:pt idx="1313">
                  <c:v>6565</c:v>
                </c:pt>
                <c:pt idx="1314">
                  <c:v>6570</c:v>
                </c:pt>
                <c:pt idx="1315">
                  <c:v>6575</c:v>
                </c:pt>
                <c:pt idx="1316">
                  <c:v>6580</c:v>
                </c:pt>
                <c:pt idx="1317">
                  <c:v>6585</c:v>
                </c:pt>
                <c:pt idx="1318">
                  <c:v>6590</c:v>
                </c:pt>
                <c:pt idx="1319">
                  <c:v>6595</c:v>
                </c:pt>
                <c:pt idx="1320">
                  <c:v>6600</c:v>
                </c:pt>
                <c:pt idx="1321">
                  <c:v>6605</c:v>
                </c:pt>
                <c:pt idx="1322">
                  <c:v>6610</c:v>
                </c:pt>
                <c:pt idx="1323">
                  <c:v>6615</c:v>
                </c:pt>
                <c:pt idx="1324">
                  <c:v>6620</c:v>
                </c:pt>
                <c:pt idx="1325">
                  <c:v>6625</c:v>
                </c:pt>
                <c:pt idx="1326">
                  <c:v>6630</c:v>
                </c:pt>
                <c:pt idx="1327">
                  <c:v>6635</c:v>
                </c:pt>
                <c:pt idx="1328">
                  <c:v>6640</c:v>
                </c:pt>
                <c:pt idx="1329">
                  <c:v>6645</c:v>
                </c:pt>
                <c:pt idx="1330">
                  <c:v>6650</c:v>
                </c:pt>
                <c:pt idx="1331">
                  <c:v>6655</c:v>
                </c:pt>
                <c:pt idx="1332">
                  <c:v>6660</c:v>
                </c:pt>
                <c:pt idx="1333">
                  <c:v>6665</c:v>
                </c:pt>
                <c:pt idx="1334">
                  <c:v>6670</c:v>
                </c:pt>
                <c:pt idx="1335">
                  <c:v>6675</c:v>
                </c:pt>
                <c:pt idx="1336">
                  <c:v>6680</c:v>
                </c:pt>
                <c:pt idx="1337">
                  <c:v>6685</c:v>
                </c:pt>
                <c:pt idx="1338">
                  <c:v>6690</c:v>
                </c:pt>
                <c:pt idx="1339">
                  <c:v>6695</c:v>
                </c:pt>
                <c:pt idx="1340">
                  <c:v>6700</c:v>
                </c:pt>
                <c:pt idx="1341">
                  <c:v>6705</c:v>
                </c:pt>
                <c:pt idx="1342">
                  <c:v>6710</c:v>
                </c:pt>
                <c:pt idx="1343">
                  <c:v>6715</c:v>
                </c:pt>
                <c:pt idx="1344">
                  <c:v>6720</c:v>
                </c:pt>
                <c:pt idx="1345">
                  <c:v>6725</c:v>
                </c:pt>
                <c:pt idx="1346">
                  <c:v>6730</c:v>
                </c:pt>
                <c:pt idx="1347">
                  <c:v>6735</c:v>
                </c:pt>
                <c:pt idx="1348">
                  <c:v>6740</c:v>
                </c:pt>
                <c:pt idx="1349">
                  <c:v>6745</c:v>
                </c:pt>
                <c:pt idx="1350">
                  <c:v>6750</c:v>
                </c:pt>
                <c:pt idx="1351">
                  <c:v>6755</c:v>
                </c:pt>
                <c:pt idx="1352">
                  <c:v>6760</c:v>
                </c:pt>
                <c:pt idx="1353">
                  <c:v>6765</c:v>
                </c:pt>
                <c:pt idx="1354">
                  <c:v>6770</c:v>
                </c:pt>
                <c:pt idx="1355">
                  <c:v>6775</c:v>
                </c:pt>
                <c:pt idx="1356">
                  <c:v>6780</c:v>
                </c:pt>
                <c:pt idx="1357">
                  <c:v>6785</c:v>
                </c:pt>
                <c:pt idx="1358">
                  <c:v>6790</c:v>
                </c:pt>
                <c:pt idx="1359">
                  <c:v>6795</c:v>
                </c:pt>
                <c:pt idx="1360">
                  <c:v>6800</c:v>
                </c:pt>
                <c:pt idx="1361">
                  <c:v>6805</c:v>
                </c:pt>
                <c:pt idx="1362">
                  <c:v>6810</c:v>
                </c:pt>
                <c:pt idx="1363">
                  <c:v>6815</c:v>
                </c:pt>
                <c:pt idx="1364">
                  <c:v>6820</c:v>
                </c:pt>
                <c:pt idx="1365">
                  <c:v>6825</c:v>
                </c:pt>
                <c:pt idx="1366">
                  <c:v>6830</c:v>
                </c:pt>
                <c:pt idx="1367">
                  <c:v>6835</c:v>
                </c:pt>
                <c:pt idx="1368">
                  <c:v>6840</c:v>
                </c:pt>
                <c:pt idx="1369">
                  <c:v>6845</c:v>
                </c:pt>
                <c:pt idx="1370">
                  <c:v>6850</c:v>
                </c:pt>
                <c:pt idx="1371">
                  <c:v>6855</c:v>
                </c:pt>
                <c:pt idx="1372">
                  <c:v>6860</c:v>
                </c:pt>
                <c:pt idx="1373">
                  <c:v>6865</c:v>
                </c:pt>
                <c:pt idx="1374">
                  <c:v>6870</c:v>
                </c:pt>
                <c:pt idx="1375">
                  <c:v>6875</c:v>
                </c:pt>
                <c:pt idx="1376">
                  <c:v>6880</c:v>
                </c:pt>
                <c:pt idx="1377">
                  <c:v>6885</c:v>
                </c:pt>
                <c:pt idx="1378">
                  <c:v>6890</c:v>
                </c:pt>
                <c:pt idx="1379">
                  <c:v>6895</c:v>
                </c:pt>
                <c:pt idx="1380">
                  <c:v>6900</c:v>
                </c:pt>
                <c:pt idx="1381">
                  <c:v>6905</c:v>
                </c:pt>
                <c:pt idx="1382">
                  <c:v>6910</c:v>
                </c:pt>
                <c:pt idx="1383">
                  <c:v>6915</c:v>
                </c:pt>
                <c:pt idx="1384">
                  <c:v>6920</c:v>
                </c:pt>
                <c:pt idx="1385">
                  <c:v>6925</c:v>
                </c:pt>
                <c:pt idx="1386">
                  <c:v>6930</c:v>
                </c:pt>
                <c:pt idx="1387">
                  <c:v>6935</c:v>
                </c:pt>
                <c:pt idx="1388">
                  <c:v>6940</c:v>
                </c:pt>
                <c:pt idx="1389">
                  <c:v>6945</c:v>
                </c:pt>
                <c:pt idx="1390">
                  <c:v>6950</c:v>
                </c:pt>
                <c:pt idx="1391">
                  <c:v>6955</c:v>
                </c:pt>
                <c:pt idx="1392">
                  <c:v>6960</c:v>
                </c:pt>
                <c:pt idx="1393">
                  <c:v>6965</c:v>
                </c:pt>
                <c:pt idx="1394">
                  <c:v>6970</c:v>
                </c:pt>
                <c:pt idx="1395">
                  <c:v>6975</c:v>
                </c:pt>
                <c:pt idx="1396">
                  <c:v>6980</c:v>
                </c:pt>
                <c:pt idx="1397">
                  <c:v>6985</c:v>
                </c:pt>
                <c:pt idx="1398">
                  <c:v>6990</c:v>
                </c:pt>
                <c:pt idx="1399">
                  <c:v>6995</c:v>
                </c:pt>
                <c:pt idx="1400">
                  <c:v>7000</c:v>
                </c:pt>
              </c:numCache>
            </c:numRef>
          </c:xVal>
          <c:yVal>
            <c:numRef>
              <c:f>'Face Support'!$S$2:$S$1497</c:f>
              <c:numCache>
                <c:formatCode>0.0E+00</c:formatCode>
                <c:ptCount val="1496"/>
                <c:pt idx="0" formatCode="General">
                  <c:v>0</c:v>
                </c:pt>
                <c:pt idx="1">
                  <c:v>2.4999999999999983E-3</c:v>
                </c:pt>
                <c:pt idx="2">
                  <c:v>4.8571428571428533E-3</c:v>
                </c:pt>
                <c:pt idx="3">
                  <c:v>7.0915178571428518E-3</c:v>
                </c:pt>
                <c:pt idx="4">
                  <c:v>9.2188783763593341E-3</c:v>
                </c:pt>
                <c:pt idx="5">
                  <c:v>1.1251854415633342E-2</c:v>
                </c:pt>
                <c:pt idx="6">
                  <c:v>1.3200759863983577E-2</c:v>
                </c:pt>
                <c:pt idx="7">
                  <c:v>1.507414904985444E-2</c:v>
                </c:pt>
                <c:pt idx="8">
                  <c:v>1.6879211846527853E-2</c:v>
                </c:pt>
                <c:pt idx="9">
                  <c:v>1.862206124409873E-2</c:v>
                </c:pt>
                <c:pt idx="10">
                  <c:v>2.0307947200896615E-2</c:v>
                </c:pt>
                <c:pt idx="11">
                  <c:v>2.1941418678472154E-2</c:v>
                </c:pt>
                <c:pt idx="12">
                  <c:v>2.352644845346721E-2</c:v>
                </c:pt>
                <c:pt idx="13">
                  <c:v>2.5066530670887661E-2</c:v>
                </c:pt>
                <c:pt idx="14">
                  <c:v>2.6564758092075424E-2</c:v>
                </c:pt>
                <c:pt idx="15">
                  <c:v>2.8023883984168135E-2</c:v>
                </c:pt>
                <c:pt idx="16">
                  <c:v>2.9446372231874907E-2</c:v>
                </c:pt>
                <c:pt idx="17">
                  <c:v>3.0834438304447796E-2</c:v>
                </c:pt>
                <c:pt idx="18">
                  <c:v>3.2190083041348828E-2</c:v>
                </c:pt>
                <c:pt idx="19">
                  <c:v>3.3515120739930258E-2</c:v>
                </c:pt>
                <c:pt idx="20">
                  <c:v>3.4811202678997392E-2</c:v>
                </c:pt>
                <c:pt idx="21">
                  <c:v>3.6079836954444895E-2</c:v>
                </c:pt>
                <c:pt idx="22">
                  <c:v>3.732240531083459E-2</c:v>
                </c:pt>
                <c:pt idx="23">
                  <c:v>3.8540177507627116E-2</c:v>
                </c:pt>
                <c:pt idx="24">
                  <c:v>3.973432364808497E-2</c:v>
                </c:pt>
                <c:pt idx="25">
                  <c:v>4.0905924813635197E-2</c:v>
                </c:pt>
                <c:pt idx="26">
                  <c:v>4.2055982280269112E-2</c:v>
                </c:pt>
                <c:pt idx="27">
                  <c:v>4.318542554168929E-2</c:v>
                </c:pt>
                <c:pt idx="28">
                  <c:v>4.4295119322965128E-2</c:v>
                </c:pt>
                <c:pt idx="29">
                  <c:v>4.5385869735892044E-2</c:v>
                </c:pt>
                <c:pt idx="30">
                  <c:v>4.6458429701171235E-2</c:v>
                </c:pt>
                <c:pt idx="31">
                  <c:v>4.7513503741508617E-2</c:v>
                </c:pt>
                <c:pt idx="32">
                  <c:v>4.8551752232688095E-2</c:v>
                </c:pt>
                <c:pt idx="33">
                  <c:v>4.9573795185773685E-2</c:v>
                </c:pt>
                <c:pt idx="34">
                  <c:v>5.0580215622196209E-2</c:v>
                </c:pt>
                <c:pt idx="35">
                  <c:v>5.1571562594084165E-2</c:v>
                </c:pt>
                <c:pt idx="36">
                  <c:v>5.2548353894415471E-2</c:v>
                </c:pt>
                <c:pt idx="37">
                  <c:v>5.3511078495089619E-2</c:v>
                </c:pt>
                <c:pt idx="38">
                  <c:v>5.4460198745605759E-2</c:v>
                </c:pt>
                <c:pt idx="39">
                  <c:v>5.5396152360487332E-2</c:v>
                </c:pt>
                <c:pt idx="40">
                  <c:v>5.6319354219763501E-2</c:v>
                </c:pt>
                <c:pt idx="41">
                  <c:v>5.7230198003576822E-2</c:v>
                </c:pt>
                <c:pt idx="42">
                  <c:v>5.8129057679234576E-2</c:v>
                </c:pt>
                <c:pt idx="43">
                  <c:v>5.9016288856676036E-2</c:v>
                </c:pt>
                <c:pt idx="44">
                  <c:v>5.9892230026322761E-2</c:v>
                </c:pt>
                <c:pt idx="45">
                  <c:v>6.0757203691558875E-2</c:v>
                </c:pt>
                <c:pt idx="46">
                  <c:v>6.1611517406608293E-2</c:v>
                </c:pt>
                <c:pt idx="47">
                  <c:v>6.2455464729298478E-2</c:v>
                </c:pt>
                <c:pt idx="48">
                  <c:v>6.3289326097094867E-2</c:v>
                </c:pt>
                <c:pt idx="49">
                  <c:v>6.4113369633830547E-2</c:v>
                </c:pt>
                <c:pt idx="50">
                  <c:v>6.4927851893721064E-2</c:v>
                </c:pt>
                <c:pt idx="51">
                  <c:v>6.5733018548525604E-2</c:v>
                </c:pt>
                <c:pt idx="52">
                  <c:v>6.6529105023079155E-2</c:v>
                </c:pt>
                <c:pt idx="53">
                  <c:v>6.7316337083861671E-2</c:v>
                </c:pt>
                <c:pt idx="54">
                  <c:v>6.8094931384779664E-2</c:v>
                </c:pt>
                <c:pt idx="55">
                  <c:v>6.8865095973903875E-2</c:v>
                </c:pt>
                <c:pt idx="56">
                  <c:v>6.9627030764525102E-2</c:v>
                </c:pt>
                <c:pt idx="57">
                  <c:v>7.0380927973553567E-2</c:v>
                </c:pt>
                <c:pt idx="58">
                  <c:v>7.112697252998823E-2</c:v>
                </c:pt>
                <c:pt idx="59">
                  <c:v>7.1865342455917511E-2</c:v>
                </c:pt>
                <c:pt idx="60">
                  <c:v>7.2596209222276942E-2</c:v>
                </c:pt>
                <c:pt idx="61">
                  <c:v>7.3319738081379246E-2</c:v>
                </c:pt>
                <c:pt idx="62">
                  <c:v>7.4036088378044762E-2</c:v>
                </c:pt>
                <c:pt idx="63">
                  <c:v>7.4745413840992453E-2</c:v>
                </c:pt>
                <c:pt idx="64">
                  <c:v>7.5447862856001524E-2</c:v>
                </c:pt>
                <c:pt idx="65">
                  <c:v>7.6143578722219038E-2</c:v>
                </c:pt>
                <c:pt idx="66">
                  <c:v>7.6832699892867881E-2</c:v>
                </c:pt>
                <c:pt idx="67">
                  <c:v>7.7515360201500447E-2</c:v>
                </c:pt>
                <c:pt idx="68">
                  <c:v>7.8191689074845347E-2</c:v>
                </c:pt>
                <c:pt idx="69">
                  <c:v>7.8861811733206E-2</c:v>
                </c:pt>
                <c:pt idx="70">
                  <c:v>7.9525849379289679E-2</c:v>
                </c:pt>
                <c:pt idx="71">
                  <c:v>8.0183919376273491E-2</c:v>
                </c:pt>
                <c:pt idx="72">
                  <c:v>8.0836135415847873E-2</c:v>
                </c:pt>
                <c:pt idx="73">
                  <c:v>8.1482607676918881E-2</c:v>
                </c:pt>
                <c:pt idx="74">
                  <c:v>8.2123442975596428E-2</c:v>
                </c:pt>
                <c:pt idx="75">
                  <c:v>8.2758744907046281E-2</c:v>
                </c:pt>
                <c:pt idx="76">
                  <c:v>8.3388613979739193E-2</c:v>
                </c:pt>
                <c:pt idx="77">
                  <c:v>8.401314774258932E-2</c:v>
                </c:pt>
                <c:pt idx="78">
                  <c:v>8.4632440905437173E-2</c:v>
                </c:pt>
                <c:pt idx="79">
                  <c:v>8.5246585453298093E-2</c:v>
                </c:pt>
                <c:pt idx="80">
                  <c:v>8.5855670754766175E-2</c:v>
                </c:pt>
                <c:pt idx="81">
                  <c:v>8.6459783664935133E-2</c:v>
                </c:pt>
                <c:pt idx="82">
                  <c:v>8.7059008623171272E-2</c:v>
                </c:pt>
                <c:pt idx="83">
                  <c:v>8.7653427746050006E-2</c:v>
                </c:pt>
                <c:pt idx="84">
                  <c:v>8.8243120915745182E-2</c:v>
                </c:pt>
                <c:pt idx="85">
                  <c:v>8.882816586414026E-2</c:v>
                </c:pt>
                <c:pt idx="86">
                  <c:v>8.9408638252911801E-2</c:v>
                </c:pt>
                <c:pt idx="87">
                  <c:v>8.9984611749818602E-2</c:v>
                </c:pt>
                <c:pt idx="88">
                  <c:v>9.0556158101413889E-2</c:v>
                </c:pt>
                <c:pt idx="89">
                  <c:v>9.1123347202383562E-2</c:v>
                </c:pt>
                <c:pt idx="90">
                  <c:v>9.1686247161699902E-2</c:v>
                </c:pt>
                <c:pt idx="91">
                  <c:v>9.2244924365767644E-2</c:v>
                </c:pt>
                <c:pt idx="92">
                  <c:v>9.2799443538728016E-2</c:v>
                </c:pt>
                <c:pt idx="93">
                  <c:v>9.3349867800075495E-2</c:v>
                </c:pt>
                <c:pt idx="94">
                  <c:v>9.3896258719732284E-2</c:v>
                </c:pt>
                <c:pt idx="95">
                  <c:v>9.4438676370716221E-2</c:v>
                </c:pt>
                <c:pt idx="96">
                  <c:v>9.4977179379529528E-2</c:v>
                </c:pt>
                <c:pt idx="97">
                  <c:v>9.5511824974387746E-2</c:v>
                </c:pt>
                <c:pt idx="98">
                  <c:v>9.604266903140099E-2</c:v>
                </c:pt>
                <c:pt idx="99">
                  <c:v>9.6569766118812808E-2</c:v>
                </c:pt>
                <c:pt idx="100">
                  <c:v>9.7093169539395507E-2</c:v>
                </c:pt>
                <c:pt idx="101">
                  <c:v>9.7612931371095155E-2</c:v>
                </c:pt>
                <c:pt idx="102">
                  <c:v>9.8129102506013574E-2</c:v>
                </c:pt>
                <c:pt idx="103">
                  <c:v>9.8641732687809958E-2</c:v>
                </c:pt>
                <c:pt idx="104">
                  <c:v>9.9150870547599593E-2</c:v>
                </c:pt>
                <c:pt idx="105">
                  <c:v>9.9656563638422888E-2</c:v>
                </c:pt>
                <c:pt idx="106">
                  <c:v>0.10015885846835368</c:v>
                </c:pt>
                <c:pt idx="107">
                  <c:v>0.10065780053231198</c:v>
                </c:pt>
                <c:pt idx="108">
                  <c:v>0.10115343434264248</c:v>
                </c:pt>
                <c:pt idx="109">
                  <c:v>0.10164580345851697</c:v>
                </c:pt>
                <c:pt idx="110">
                  <c:v>0.1021349505142153</c:v>
                </c:pt>
                <c:pt idx="111">
                  <c:v>0.10262091724633701</c:v>
                </c:pt>
                <c:pt idx="112">
                  <c:v>0.10310374451999239</c:v>
                </c:pt>
                <c:pt idx="113">
                  <c:v>0.10358347235401942</c:v>
                </c:pt>
                <c:pt idx="114">
                  <c:v>0.10406013994527065</c:v>
                </c:pt>
                <c:pt idx="115">
                  <c:v>0.10453378569201141</c:v>
                </c:pt>
                <c:pt idx="116">
                  <c:v>0.10500444721646893</c:v>
                </c:pt>
                <c:pt idx="117">
                  <c:v>0.1054721613865696</c:v>
                </c:pt>
                <c:pt idx="118">
                  <c:v>0.10593696433689996</c:v>
                </c:pt>
                <c:pt idx="119">
                  <c:v>0.10639889148892484</c:v>
                </c:pt>
                <c:pt idx="120">
                  <c:v>0.10685797757049481</c:v>
                </c:pt>
                <c:pt idx="121">
                  <c:v>0.10731425663467302</c:v>
                </c:pt>
                <c:pt idx="122">
                  <c:v>0.10776776207791038</c:v>
                </c:pt>
                <c:pt idx="123">
                  <c:v>0.10821852665759635</c:v>
                </c:pt>
                <c:pt idx="124">
                  <c:v>0.10866658250901139</c:v>
                </c:pt>
                <c:pt idx="125">
                  <c:v>0.10911196116170582</c:v>
                </c:pt>
                <c:pt idx="126">
                  <c:v>0.10955469355532867</c:v>
                </c:pt>
                <c:pt idx="127">
                  <c:v>0.10999481005492875</c:v>
                </c:pt>
                <c:pt idx="128">
                  <c:v>0.1104323404657496</c:v>
                </c:pt>
                <c:pt idx="129">
                  <c:v>0.11086731404753826</c:v>
                </c:pt>
                <c:pt idx="130">
                  <c:v>0.11129975952838761</c:v>
                </c:pt>
                <c:pt idx="131">
                  <c:v>0.11172970511813042</c:v>
                </c:pt>
                <c:pt idx="132">
                  <c:v>0.11215717852130294</c:v>
                </c:pt>
                <c:pt idx="133">
                  <c:v>0.11258220694969469</c:v>
                </c:pt>
                <c:pt idx="134">
                  <c:v>0.11300481713450053</c:v>
                </c:pt>
                <c:pt idx="135">
                  <c:v>0.11342503533809037</c:v>
                </c:pt>
                <c:pt idx="136">
                  <c:v>0.11384288736541093</c:v>
                </c:pt>
                <c:pt idx="137">
                  <c:v>0.11425839857503373</c:v>
                </c:pt>
                <c:pt idx="138">
                  <c:v>0.11467159388986251</c:v>
                </c:pt>
                <c:pt idx="139">
                  <c:v>0.11508249780751284</c:v>
                </c:pt>
                <c:pt idx="140">
                  <c:v>0.1154911344103761</c:v>
                </c:pt>
                <c:pt idx="141">
                  <c:v>0.11589752737537952</c:v>
                </c:pt>
                <c:pt idx="142">
                  <c:v>0.11630169998345337</c:v>
                </c:pt>
                <c:pt idx="143">
                  <c:v>0.11670367512871602</c:v>
                </c:pt>
                <c:pt idx="144">
                  <c:v>0.11710347532738699</c:v>
                </c:pt>
                <c:pt idx="145">
                  <c:v>0.11750112272643792</c:v>
                </c:pt>
                <c:pt idx="146">
                  <c:v>0.11789663911199062</c:v>
                </c:pt>
                <c:pt idx="147">
                  <c:v>0.11829004591747139</c:v>
                </c:pt>
                <c:pt idx="148">
                  <c:v>0.11868136423152996</c:v>
                </c:pt>
                <c:pt idx="149">
                  <c:v>0.11907061480573157</c:v>
                </c:pt>
                <c:pt idx="150">
                  <c:v>0.11945781806202986</c:v>
                </c:pt>
                <c:pt idx="151">
                  <c:v>0.11984299410002826</c:v>
                </c:pt>
                <c:pt idx="152">
                  <c:v>0.12022616270403708</c:v>
                </c:pt>
                <c:pt idx="153">
                  <c:v>0.12060734334993342</c:v>
                </c:pt>
                <c:pt idx="154">
                  <c:v>0.12098655521183045</c:v>
                </c:pt>
                <c:pt idx="155">
                  <c:v>0.12136381716856248</c:v>
                </c:pt>
                <c:pt idx="156">
                  <c:v>0.12173914780999219</c:v>
                </c:pt>
                <c:pt idx="157">
                  <c:v>0.12211256544314568</c:v>
                </c:pt>
                <c:pt idx="158">
                  <c:v>0.12248408809818129</c:v>
                </c:pt>
                <c:pt idx="159">
                  <c:v>0.12285373353419748</c:v>
                </c:pt>
                <c:pt idx="160">
                  <c:v>0.12322151924488521</c:v>
                </c:pt>
                <c:pt idx="161">
                  <c:v>0.12358746246402962</c:v>
                </c:pt>
                <c:pt idx="162">
                  <c:v>0.1239515801708662</c:v>
                </c:pt>
                <c:pt idx="163">
                  <c:v>0.12431388909529598</c:v>
                </c:pt>
                <c:pt idx="164">
                  <c:v>0.12467440572296411</c:v>
                </c:pt>
                <c:pt idx="165">
                  <c:v>0.12503314630020645</c:v>
                </c:pt>
                <c:pt idx="166">
                  <c:v>0.12539012683886813</c:v>
                </c:pt>
                <c:pt idx="167">
                  <c:v>0.12574536312099824</c:v>
                </c:pt>
                <c:pt idx="168">
                  <c:v>0.12609887070342435</c:v>
                </c:pt>
                <c:pt idx="169">
                  <c:v>0.1264506649222108</c:v>
                </c:pt>
                <c:pt idx="170">
                  <c:v>0.12680076089700426</c:v>
                </c:pt>
                <c:pt idx="171">
                  <c:v>0.12714917353526989</c:v>
                </c:pt>
                <c:pt idx="172">
                  <c:v>0.12749591753642175</c:v>
                </c:pt>
                <c:pt idx="173">
                  <c:v>0.12784100739585033</c:v>
                </c:pt>
                <c:pt idx="174">
                  <c:v>0.12818445740885054</c:v>
                </c:pt>
                <c:pt idx="175">
                  <c:v>0.12852628167445312</c:v>
                </c:pt>
                <c:pt idx="176">
                  <c:v>0.12886649409916226</c:v>
                </c:pt>
                <c:pt idx="177">
                  <c:v>0.12920510840060231</c:v>
                </c:pt>
                <c:pt idx="178">
                  <c:v>0.1295421381110762</c:v>
                </c:pt>
                <c:pt idx="179">
                  <c:v>0.12987759658103828</c:v>
                </c:pt>
                <c:pt idx="180">
                  <c:v>0.13021149698248391</c:v>
                </c:pt>
                <c:pt idx="181">
                  <c:v>0.13054385231225835</c:v>
                </c:pt>
                <c:pt idx="182">
                  <c:v>0.13087467539528733</c:v>
                </c:pt>
                <c:pt idx="183">
                  <c:v>0.13120397888773139</c:v>
                </c:pt>
                <c:pt idx="184">
                  <c:v>0.13153177528006632</c:v>
                </c:pt>
                <c:pt idx="185">
                  <c:v>0.13185807690009169</c:v>
                </c:pt>
                <c:pt idx="186">
                  <c:v>0.13218289591586962</c:v>
                </c:pt>
                <c:pt idx="187">
                  <c:v>0.1325062443385957</c:v>
                </c:pt>
                <c:pt idx="188">
                  <c:v>0.13282813402540397</c:v>
                </c:pt>
                <c:pt idx="189">
                  <c:v>0.13314857668210778</c:v>
                </c:pt>
                <c:pt idx="190">
                  <c:v>0.13346758386587834</c:v>
                </c:pt>
                <c:pt idx="191">
                  <c:v>0.13378516698786275</c:v>
                </c:pt>
                <c:pt idx="192">
                  <c:v>0.13410133731574295</c:v>
                </c:pt>
                <c:pt idx="193">
                  <c:v>0.13441610597623749</c:v>
                </c:pt>
                <c:pt idx="194">
                  <c:v>0.13472948395754747</c:v>
                </c:pt>
                <c:pt idx="195">
                  <c:v>0.1350414821117483</c:v>
                </c:pt>
                <c:pt idx="196">
                  <c:v>0.13535211115712859</c:v>
                </c:pt>
                <c:pt idx="197">
                  <c:v>0.13566138168047773</c:v>
                </c:pt>
                <c:pt idx="198">
                  <c:v>0.13596930413932354</c:v>
                </c:pt>
                <c:pt idx="199">
                  <c:v>0.13627588886412104</c:v>
                </c:pt>
                <c:pt idx="200">
                  <c:v>0.13658114606039412</c:v>
                </c:pt>
                <c:pt idx="201">
                  <c:v>0.13688508581083089</c:v>
                </c:pt>
                <c:pt idx="202">
                  <c:v>0.13718771807733413</c:v>
                </c:pt>
                <c:pt idx="203">
                  <c:v>0.13748905270302805</c:v>
                </c:pt>
                <c:pt idx="204">
                  <c:v>0.1377890994142224</c:v>
                </c:pt>
                <c:pt idx="205">
                  <c:v>0.13808786782233501</c:v>
                </c:pt>
                <c:pt idx="206">
                  <c:v>0.13838536742577401</c:v>
                </c:pt>
                <c:pt idx="207">
                  <c:v>0.1386816076117805</c:v>
                </c:pt>
                <c:pt idx="208">
                  <c:v>0.13897659765823289</c:v>
                </c:pt>
                <c:pt idx="209">
                  <c:v>0.13927034673541375</c:v>
                </c:pt>
                <c:pt idx="210">
                  <c:v>0.13956286390774023</c:v>
                </c:pt>
                <c:pt idx="211">
                  <c:v>0.13985415813545882</c:v>
                </c:pt>
                <c:pt idx="212">
                  <c:v>0.14014423827630554</c:v>
                </c:pt>
                <c:pt idx="213">
                  <c:v>0.14043311308713219</c:v>
                </c:pt>
                <c:pt idx="214">
                  <c:v>0.14072079122549969</c:v>
                </c:pt>
                <c:pt idx="215">
                  <c:v>0.14100728125123918</c:v>
                </c:pt>
                <c:pt idx="216">
                  <c:v>0.14129259162798183</c:v>
                </c:pt>
                <c:pt idx="217">
                  <c:v>0.14157673072465796</c:v>
                </c:pt>
                <c:pt idx="218">
                  <c:v>0.1418597068169663</c:v>
                </c:pt>
                <c:pt idx="219">
                  <c:v>0.14214152808881417</c:v>
                </c:pt>
                <c:pt idx="220">
                  <c:v>0.14242220263372912</c:v>
                </c:pt>
                <c:pt idx="221">
                  <c:v>0.14270173845624293</c:v>
                </c:pt>
                <c:pt idx="222">
                  <c:v>0.14298014347324831</c:v>
                </c:pt>
                <c:pt idx="223">
                  <c:v>0.14325742551532947</c:v>
                </c:pt>
                <c:pt idx="224">
                  <c:v>0.14353359232806651</c:v>
                </c:pt>
                <c:pt idx="225">
                  <c:v>0.14380865157331491</c:v>
                </c:pt>
                <c:pt idx="226">
                  <c:v>0.14408261083046012</c:v>
                </c:pt>
                <c:pt idx="227">
                  <c:v>0.14435547759764841</c:v>
                </c:pt>
                <c:pt idx="228">
                  <c:v>0.14462725929299391</c:v>
                </c:pt>
                <c:pt idx="229">
                  <c:v>0.14489796325576301</c:v>
                </c:pt>
                <c:pt idx="230">
                  <c:v>0.14516759674753613</c:v>
                </c:pt>
                <c:pt idx="231">
                  <c:v>0.14543616695334768</c:v>
                </c:pt>
                <c:pt idx="232">
                  <c:v>0.1457036809828047</c:v>
                </c:pt>
                <c:pt idx="233">
                  <c:v>0.14597014587118448</c:v>
                </c:pt>
                <c:pt idx="234">
                  <c:v>0.14623556858051184</c:v>
                </c:pt>
                <c:pt idx="235">
                  <c:v>0.14649995600061635</c:v>
                </c:pt>
                <c:pt idx="236">
                  <c:v>0.14676331495017017</c:v>
                </c:pt>
                <c:pt idx="237">
                  <c:v>0.14702565217770666</c:v>
                </c:pt>
                <c:pt idx="238">
                  <c:v>0.14728697436262048</c:v>
                </c:pt>
                <c:pt idx="239">
                  <c:v>0.14754728811614937</c:v>
                </c:pt>
                <c:pt idx="240">
                  <c:v>0.14780659998233811</c:v>
                </c:pt>
                <c:pt idx="241">
                  <c:v>0.14806491643898512</c:v>
                </c:pt>
                <c:pt idx="242">
                  <c:v>0.14832224389857188</c:v>
                </c:pt>
                <c:pt idx="243">
                  <c:v>0.14857858870917576</c:v>
                </c:pt>
                <c:pt idx="244">
                  <c:v>0.14883395715536649</c:v>
                </c:pt>
                <c:pt idx="245">
                  <c:v>0.14908835545908677</c:v>
                </c:pt>
                <c:pt idx="246">
                  <c:v>0.14934178978051713</c:v>
                </c:pt>
                <c:pt idx="247">
                  <c:v>0.14959426621892552</c:v>
                </c:pt>
                <c:pt idx="248">
                  <c:v>0.14984579081350216</c:v>
                </c:pt>
                <c:pt idx="249">
                  <c:v>0.15009636954417946</c:v>
                </c:pt>
                <c:pt idx="250">
                  <c:v>0.15034600833243783</c:v>
                </c:pt>
                <c:pt idx="251">
                  <c:v>0.15059471304209746</c:v>
                </c:pt>
                <c:pt idx="252">
                  <c:v>0.15084248948009621</c:v>
                </c:pt>
                <c:pt idx="253">
                  <c:v>0.15108934339725433</c:v>
                </c:pt>
                <c:pt idx="254">
                  <c:v>0.15133528048902589</c:v>
                </c:pt>
                <c:pt idx="255">
                  <c:v>0.15158030639623729</c:v>
                </c:pt>
                <c:pt idx="256">
                  <c:v>0.15182442670581334</c:v>
                </c:pt>
                <c:pt idx="257">
                  <c:v>0.15206764695149075</c:v>
                </c:pt>
                <c:pt idx="258">
                  <c:v>0.15230997261451987</c:v>
                </c:pt>
                <c:pt idx="259">
                  <c:v>0.15255140912435425</c:v>
                </c:pt>
                <c:pt idx="260">
                  <c:v>0.15279196185932886</c:v>
                </c:pt>
                <c:pt idx="261">
                  <c:v>0.15303163614732679</c:v>
                </c:pt>
                <c:pt idx="262">
                  <c:v>0.15327043726643491</c:v>
                </c:pt>
                <c:pt idx="263">
                  <c:v>0.15350837044558868</c:v>
                </c:pt>
                <c:pt idx="264">
                  <c:v>0.15374544086520617</c:v>
                </c:pt>
                <c:pt idx="265">
                  <c:v>0.15398165365781161</c:v>
                </c:pt>
                <c:pt idx="266">
                  <c:v>0.15421701390864884</c:v>
                </c:pt>
                <c:pt idx="267">
                  <c:v>0.15445152665628453</c:v>
                </c:pt>
                <c:pt idx="268">
                  <c:v>0.15468519689320173</c:v>
                </c:pt>
                <c:pt idx="269">
                  <c:v>0.15491802956638359</c:v>
                </c:pt>
                <c:pt idx="270">
                  <c:v>0.15515002957788773</c:v>
                </c:pt>
                <c:pt idx="271">
                  <c:v>0.15538120178541134</c:v>
                </c:pt>
                <c:pt idx="272">
                  <c:v>0.15561155100284715</c:v>
                </c:pt>
                <c:pt idx="273">
                  <c:v>0.15584108200083044</c:v>
                </c:pt>
                <c:pt idx="274">
                  <c:v>0.15606979950727745</c:v>
                </c:pt>
                <c:pt idx="275">
                  <c:v>0.15629770820791508</c:v>
                </c:pt>
                <c:pt idx="276">
                  <c:v>0.15652481274680227</c:v>
                </c:pt>
                <c:pt idx="277">
                  <c:v>0.15675111772684308</c:v>
                </c:pt>
                <c:pt idx="278">
                  <c:v>0.15697662771029178</c:v>
                </c:pt>
                <c:pt idx="279">
                  <c:v>0.15720134721924986</c:v>
                </c:pt>
                <c:pt idx="280">
                  <c:v>0.15742528073615542</c:v>
                </c:pt>
                <c:pt idx="281">
                  <c:v>0.15764843270426485</c:v>
                </c:pt>
                <c:pt idx="282">
                  <c:v>0.15787080752812702</c:v>
                </c:pt>
                <c:pt idx="283">
                  <c:v>0.15809240957405019</c:v>
                </c:pt>
                <c:pt idx="284">
                  <c:v>0.15831324317056164</c:v>
                </c:pt>
                <c:pt idx="285">
                  <c:v>0.15853331260886031</c:v>
                </c:pt>
                <c:pt idx="286">
                  <c:v>0.15875262214326238</c:v>
                </c:pt>
                <c:pt idx="287">
                  <c:v>0.15897117599164021</c:v>
                </c:pt>
                <c:pt idx="288">
                  <c:v>0.15918897833585441</c:v>
                </c:pt>
                <c:pt idx="289">
                  <c:v>0.15940603332217962</c:v>
                </c:pt>
                <c:pt idx="290">
                  <c:v>0.15962234506172351</c:v>
                </c:pt>
                <c:pt idx="291">
                  <c:v>0.15983791763083982</c:v>
                </c:pt>
                <c:pt idx="292">
                  <c:v>0.16005275507153482</c:v>
                </c:pt>
                <c:pt idx="293">
                  <c:v>0.1602668613918681</c:v>
                </c:pt>
                <c:pt idx="294">
                  <c:v>0.16048024056634699</c:v>
                </c:pt>
                <c:pt idx="295">
                  <c:v>0.16069289653631544</c:v>
                </c:pt>
                <c:pt idx="296">
                  <c:v>0.16090483321033683</c:v>
                </c:pt>
                <c:pt idx="297">
                  <c:v>0.16111605446457145</c:v>
                </c:pt>
                <c:pt idx="298">
                  <c:v>0.16132656414314814</c:v>
                </c:pt>
                <c:pt idx="299">
                  <c:v>0.16153636605853058</c:v>
                </c:pt>
                <c:pt idx="300">
                  <c:v>0.16174546399187834</c:v>
                </c:pt>
                <c:pt idx="301">
                  <c:v>0.16195386169340242</c:v>
                </c:pt>
                <c:pt idx="302">
                  <c:v>0.16216156288271588</c:v>
                </c:pt>
                <c:pt idx="303">
                  <c:v>0.16236857124917914</c:v>
                </c:pt>
                <c:pt idx="304">
                  <c:v>0.16257489045224049</c:v>
                </c:pt>
                <c:pt idx="305">
                  <c:v>0.16278052412177166</c:v>
                </c:pt>
                <c:pt idx="306">
                  <c:v>0.16298547585839845</c:v>
                </c:pt>
                <c:pt idx="307">
                  <c:v>0.16318974923382676</c:v>
                </c:pt>
                <c:pt idx="308">
                  <c:v>0.16339334779116396</c:v>
                </c:pt>
                <c:pt idx="309">
                  <c:v>0.16359627504523561</c:v>
                </c:pt>
                <c:pt idx="310">
                  <c:v>0.16379853448289777</c:v>
                </c:pt>
                <c:pt idx="311">
                  <c:v>0.16400012956334487</c:v>
                </c:pt>
                <c:pt idx="312">
                  <c:v>0.16420106371841323</c:v>
                </c:pt>
                <c:pt idx="313">
                  <c:v>0.16440134035288032</c:v>
                </c:pt>
                <c:pt idx="314">
                  <c:v>0.16460096284475986</c:v>
                </c:pt>
                <c:pt idx="315">
                  <c:v>0.16479993454559286</c:v>
                </c:pt>
                <c:pt idx="316">
                  <c:v>0.16499825878073437</c:v>
                </c:pt>
                <c:pt idx="317">
                  <c:v>0.1651959388496366</c:v>
                </c:pt>
                <c:pt idx="318">
                  <c:v>0.16539297802612779</c:v>
                </c:pt>
                <c:pt idx="319">
                  <c:v>0.16558937955868752</c:v>
                </c:pt>
                <c:pt idx="320">
                  <c:v>0.16578514667071803</c:v>
                </c:pt>
                <c:pt idx="321">
                  <c:v>0.16598028256081196</c:v>
                </c:pt>
                <c:pt idx="322">
                  <c:v>0.16617479040301633</c:v>
                </c:pt>
                <c:pt idx="323">
                  <c:v>0.16636867334709299</c:v>
                </c:pt>
                <c:pt idx="324">
                  <c:v>0.16656193451877552</c:v>
                </c:pt>
                <c:pt idx="325">
                  <c:v>0.16675457702002264</c:v>
                </c:pt>
                <c:pt idx="326">
                  <c:v>0.16694660392926822</c:v>
                </c:pt>
                <c:pt idx="327">
                  <c:v>0.16713801830166791</c:v>
                </c:pt>
                <c:pt idx="328">
                  <c:v>0.16732882316934247</c:v>
                </c:pt>
                <c:pt idx="329">
                  <c:v>0.16751902154161782</c:v>
                </c:pt>
                <c:pt idx="330">
                  <c:v>0.16770861640526197</c:v>
                </c:pt>
                <c:pt idx="331">
                  <c:v>0.16789761072471865</c:v>
                </c:pt>
                <c:pt idx="332">
                  <c:v>0.16808600744233801</c:v>
                </c:pt>
                <c:pt idx="333">
                  <c:v>0.16827380947860418</c:v>
                </c:pt>
                <c:pt idx="334">
                  <c:v>0.1684610197323598</c:v>
                </c:pt>
                <c:pt idx="335">
                  <c:v>0.1686476410810277</c:v>
                </c:pt>
                <c:pt idx="336">
                  <c:v>0.16883367638082961</c:v>
                </c:pt>
                <c:pt idx="337">
                  <c:v>0.16901912846700193</c:v>
                </c:pt>
                <c:pt idx="338">
                  <c:v>0.16920400015400894</c:v>
                </c:pt>
                <c:pt idx="339">
                  <c:v>0.16938829423575294</c:v>
                </c:pt>
                <c:pt idx="340">
                  <c:v>0.16957201348578188</c:v>
                </c:pt>
                <c:pt idx="341">
                  <c:v>0.16975516065749424</c:v>
                </c:pt>
                <c:pt idx="342">
                  <c:v>0.16993773848434121</c:v>
                </c:pt>
                <c:pt idx="343">
                  <c:v>0.17011974968002638</c:v>
                </c:pt>
                <c:pt idx="344">
                  <c:v>0.17030119693870283</c:v>
                </c:pt>
                <c:pt idx="345">
                  <c:v>0.17048208293516764</c:v>
                </c:pt>
                <c:pt idx="346">
                  <c:v>0.17066241032505405</c:v>
                </c:pt>
                <c:pt idx="347">
                  <c:v>0.17084218174502105</c:v>
                </c:pt>
                <c:pt idx="348">
                  <c:v>0.17102139981294065</c:v>
                </c:pt>
                <c:pt idx="349">
                  <c:v>0.17120006712808275</c:v>
                </c:pt>
                <c:pt idx="350">
                  <c:v>0.17137818627129778</c:v>
                </c:pt>
                <c:pt idx="351">
                  <c:v>0.1715557598051968</c:v>
                </c:pt>
                <c:pt idx="352">
                  <c:v>0.17173279027432967</c:v>
                </c:pt>
                <c:pt idx="353">
                  <c:v>0.1719092802053607</c:v>
                </c:pt>
                <c:pt idx="354">
                  <c:v>0.17208523210724233</c:v>
                </c:pt>
                <c:pt idx="355">
                  <c:v>0.17226064847138656</c:v>
                </c:pt>
                <c:pt idx="356">
                  <c:v>0.17243553177183418</c:v>
                </c:pt>
                <c:pt idx="357">
                  <c:v>0.17260988446542211</c:v>
                </c:pt>
                <c:pt idx="358">
                  <c:v>0.17278370899194848</c:v>
                </c:pt>
                <c:pt idx="359">
                  <c:v>0.17295700777433576</c:v>
                </c:pt>
                <c:pt idx="360">
                  <c:v>0.17312978321879194</c:v>
                </c:pt>
                <c:pt idx="361">
                  <c:v>0.17330203771496969</c:v>
                </c:pt>
                <c:pt idx="362">
                  <c:v>0.17347377363612354</c:v>
                </c:pt>
                <c:pt idx="363">
                  <c:v>0.17364499333926525</c:v>
                </c:pt>
                <c:pt idx="364">
                  <c:v>0.17381569916531722</c:v>
                </c:pt>
                <c:pt idx="365">
                  <c:v>0.17398589343926404</c:v>
                </c:pt>
                <c:pt idx="366">
                  <c:v>0.17415557847030227</c:v>
                </c:pt>
                <c:pt idx="367">
                  <c:v>0.1743247565519884</c:v>
                </c:pt>
                <c:pt idx="368">
                  <c:v>0.17449342996238498</c:v>
                </c:pt>
                <c:pt idx="369">
                  <c:v>0.1746616009642051</c:v>
                </c:pt>
                <c:pt idx="370">
                  <c:v>0.17482927180495506</c:v>
                </c:pt>
                <c:pt idx="371">
                  <c:v>0.17499644471707537</c:v>
                </c:pt>
                <c:pt idx="372">
                  <c:v>0.17516312191808012</c:v>
                </c:pt>
                <c:pt idx="373">
                  <c:v>0.17532930561069462</c:v>
                </c:pt>
                <c:pt idx="374">
                  <c:v>0.17549499798299154</c:v>
                </c:pt>
                <c:pt idx="375">
                  <c:v>0.17566020120852524</c:v>
                </c:pt>
                <c:pt idx="376">
                  <c:v>0.17582491744646472</c:v>
                </c:pt>
                <c:pt idx="377">
                  <c:v>0.17598914884172498</c:v>
                </c:pt>
                <c:pt idx="378">
                  <c:v>0.17615289752509675</c:v>
                </c:pt>
                <c:pt idx="379">
                  <c:v>0.17631616561337474</c:v>
                </c:pt>
                <c:pt idx="380">
                  <c:v>0.17647895520948451</c:v>
                </c:pt>
                <c:pt idx="381">
                  <c:v>0.17664126840260772</c:v>
                </c:pt>
                <c:pt idx="382">
                  <c:v>0.17680310726830598</c:v>
                </c:pt>
                <c:pt idx="383">
                  <c:v>0.17696447386864339</c:v>
                </c:pt>
                <c:pt idx="384">
                  <c:v>0.17712537025230743</c:v>
                </c:pt>
                <c:pt idx="385">
                  <c:v>0.17728579845472872</c:v>
                </c:pt>
                <c:pt idx="386">
                  <c:v>0.17744576049819918</c:v>
                </c:pt>
                <c:pt idx="387">
                  <c:v>0.17760525839198907</c:v>
                </c:pt>
                <c:pt idx="388">
                  <c:v>0.17776429413246245</c:v>
                </c:pt>
                <c:pt idx="389">
                  <c:v>0.17792286970319157</c:v>
                </c:pt>
                <c:pt idx="390">
                  <c:v>0.17808098707506975</c:v>
                </c:pt>
                <c:pt idx="391">
                  <c:v>0.17823864820642318</c:v>
                </c:pt>
                <c:pt idx="392">
                  <c:v>0.1783958550431213</c:v>
                </c:pt>
                <c:pt idx="393">
                  <c:v>0.17855260951868601</c:v>
                </c:pt>
                <c:pt idx="394">
                  <c:v>0.17870891355439966</c:v>
                </c:pt>
                <c:pt idx="395">
                  <c:v>0.17886476905941182</c:v>
                </c:pt>
                <c:pt idx="396">
                  <c:v>0.17902017793084479</c:v>
                </c:pt>
                <c:pt idx="397">
                  <c:v>0.17917514205389815</c:v>
                </c:pt>
                <c:pt idx="398">
                  <c:v>0.17932966330195185</c:v>
                </c:pt>
                <c:pt idx="399">
                  <c:v>0.17948374353666838</c:v>
                </c:pt>
                <c:pt idx="400">
                  <c:v>0.1796373846080937</c:v>
                </c:pt>
                <c:pt idx="401">
                  <c:v>0.17979058835475714</c:v>
                </c:pt>
                <c:pt idx="402">
                  <c:v>0.17994335660377014</c:v>
                </c:pt>
                <c:pt idx="403">
                  <c:v>0.18009569117092389</c:v>
                </c:pt>
                <c:pt idx="404">
                  <c:v>0.18024759386078598</c:v>
                </c:pt>
                <c:pt idx="405">
                  <c:v>0.1803990664667959</c:v>
                </c:pt>
                <c:pt idx="406">
                  <c:v>0.1805501107713596</c:v>
                </c:pt>
                <c:pt idx="407">
                  <c:v>0.18070072854594293</c:v>
                </c:pt>
                <c:pt idx="408">
                  <c:v>0.18085092155116411</c:v>
                </c:pt>
                <c:pt idx="409">
                  <c:v>0.18100069153688519</c:v>
                </c:pt>
                <c:pt idx="410">
                  <c:v>0.18115004024230258</c:v>
                </c:pt>
                <c:pt idx="411">
                  <c:v>0.18129896939603651</c:v>
                </c:pt>
                <c:pt idx="412">
                  <c:v>0.18144748071621955</c:v>
                </c:pt>
                <c:pt idx="413">
                  <c:v>0.18159557591058426</c:v>
                </c:pt>
                <c:pt idx="414">
                  <c:v>0.18174325667654981</c:v>
                </c:pt>
                <c:pt idx="415">
                  <c:v>0.18189052470130773</c:v>
                </c:pt>
                <c:pt idx="416">
                  <c:v>0.18203738166190675</c:v>
                </c:pt>
                <c:pt idx="417">
                  <c:v>0.18218382922533669</c:v>
                </c:pt>
                <c:pt idx="418">
                  <c:v>0.18232986904861148</c:v>
                </c:pt>
                <c:pt idx="419">
                  <c:v>0.18247550277885138</c:v>
                </c:pt>
                <c:pt idx="420">
                  <c:v>0.18262073205336421</c:v>
                </c:pt>
                <c:pt idx="421">
                  <c:v>0.18276555849972578</c:v>
                </c:pt>
                <c:pt idx="422">
                  <c:v>0.18290998373585957</c:v>
                </c:pt>
                <c:pt idx="423">
                  <c:v>0.1830540093701154</c:v>
                </c:pt>
                <c:pt idx="424">
                  <c:v>0.18319763700134736</c:v>
                </c:pt>
                <c:pt idx="425">
                  <c:v>0.18334086821899101</c:v>
                </c:pt>
                <c:pt idx="426">
                  <c:v>0.18348370460313965</c:v>
                </c:pt>
                <c:pt idx="427">
                  <c:v>0.18362614772461983</c:v>
                </c:pt>
                <c:pt idx="428">
                  <c:v>0.18376819914506617</c:v>
                </c:pt>
                <c:pt idx="429">
                  <c:v>0.18390986041699528</c:v>
                </c:pt>
                <c:pt idx="430">
                  <c:v>0.18405113308387896</c:v>
                </c:pt>
                <c:pt idx="431">
                  <c:v>0.18419201868021676</c:v>
                </c:pt>
                <c:pt idx="432">
                  <c:v>0.18433251873160758</c:v>
                </c:pt>
                <c:pt idx="433">
                  <c:v>0.18447263475482073</c:v>
                </c:pt>
                <c:pt idx="434">
                  <c:v>0.1846123682578662</c:v>
                </c:pt>
                <c:pt idx="435">
                  <c:v>0.18475172074006413</c:v>
                </c:pt>
                <c:pt idx="436">
                  <c:v>0.18489069369211372</c:v>
                </c:pt>
                <c:pt idx="437">
                  <c:v>0.18502928859616136</c:v>
                </c:pt>
                <c:pt idx="438">
                  <c:v>0.18516750692586809</c:v>
                </c:pt>
                <c:pt idx="439">
                  <c:v>0.18530535014647631</c:v>
                </c:pt>
                <c:pt idx="440">
                  <c:v>0.18544281971487594</c:v>
                </c:pt>
                <c:pt idx="441">
                  <c:v>0.18557991707966986</c:v>
                </c:pt>
                <c:pt idx="442">
                  <c:v>0.18571664368123866</c:v>
                </c:pt>
                <c:pt idx="443">
                  <c:v>0.18585300095180479</c:v>
                </c:pt>
                <c:pt idx="444">
                  <c:v>0.18598899031549601</c:v>
                </c:pt>
                <c:pt idx="445">
                  <c:v>0.18612461318840828</c:v>
                </c:pt>
                <c:pt idx="446">
                  <c:v>0.186259870978668</c:v>
                </c:pt>
                <c:pt idx="447">
                  <c:v>0.18639476508649364</c:v>
                </c:pt>
                <c:pt idx="448">
                  <c:v>0.18652929690425668</c:v>
                </c:pt>
                <c:pt idx="449">
                  <c:v>0.18666346781654208</c:v>
                </c:pt>
                <c:pt idx="450">
                  <c:v>0.18679727920020811</c:v>
                </c:pt>
                <c:pt idx="451">
                  <c:v>0.18693073242444544</c:v>
                </c:pt>
                <c:pt idx="452">
                  <c:v>0.18706382885083594</c:v>
                </c:pt>
                <c:pt idx="453">
                  <c:v>0.18719656983341065</c:v>
                </c:pt>
                <c:pt idx="454">
                  <c:v>0.18732895671870731</c:v>
                </c:pt>
                <c:pt idx="455">
                  <c:v>0.18746099084582726</c:v>
                </c:pt>
                <c:pt idx="456">
                  <c:v>0.18759267354649192</c:v>
                </c:pt>
                <c:pt idx="457">
                  <c:v>0.18772400614509854</c:v>
                </c:pt>
                <c:pt idx="458">
                  <c:v>0.1878549899587755</c:v>
                </c:pt>
                <c:pt idx="459">
                  <c:v>0.18798562629743712</c:v>
                </c:pt>
                <c:pt idx="460">
                  <c:v>0.18811591646383788</c:v>
                </c:pt>
                <c:pt idx="461">
                  <c:v>0.18824586175362609</c:v>
                </c:pt>
                <c:pt idx="462">
                  <c:v>0.18837546345539716</c:v>
                </c:pt>
                <c:pt idx="463">
                  <c:v>0.18850472285074624</c:v>
                </c:pt>
                <c:pt idx="464">
                  <c:v>0.18863364121432039</c:v>
                </c:pt>
                <c:pt idx="465">
                  <c:v>0.18876221981387031</c:v>
                </c:pt>
                <c:pt idx="466">
                  <c:v>0.18889045991030154</c:v>
                </c:pt>
                <c:pt idx="467">
                  <c:v>0.1890183627577251</c:v>
                </c:pt>
                <c:pt idx="468">
                  <c:v>0.18914592960350776</c:v>
                </c:pt>
                <c:pt idx="469">
                  <c:v>0.18927316168832181</c:v>
                </c:pt>
                <c:pt idx="470">
                  <c:v>0.1894000602461943</c:v>
                </c:pt>
                <c:pt idx="471">
                  <c:v>0.1895266265045559</c:v>
                </c:pt>
                <c:pt idx="472">
                  <c:v>0.18965286168428924</c:v>
                </c:pt>
                <c:pt idx="473">
                  <c:v>0.1897787669997768</c:v>
                </c:pt>
                <c:pt idx="474">
                  <c:v>0.18990434365894837</c:v>
                </c:pt>
                <c:pt idx="475">
                  <c:v>0.1900295928633281</c:v>
                </c:pt>
                <c:pt idx="476">
                  <c:v>0.19015451580808104</c:v>
                </c:pt>
                <c:pt idx="477">
                  <c:v>0.19027911368205927</c:v>
                </c:pt>
                <c:pt idx="478">
                  <c:v>0.19040338766784765</c:v>
                </c:pt>
                <c:pt idx="479">
                  <c:v>0.19052733894180909</c:v>
                </c:pt>
                <c:pt idx="480">
                  <c:v>0.19065096867412942</c:v>
                </c:pt>
                <c:pt idx="481">
                  <c:v>0.19077427802886182</c:v>
                </c:pt>
                <c:pt idx="482">
                  <c:v>0.19089726816397093</c:v>
                </c:pt>
                <c:pt idx="483">
                  <c:v>0.19101994023137644</c:v>
                </c:pt>
                <c:pt idx="484">
                  <c:v>0.19114229537699634</c:v>
                </c:pt>
                <c:pt idx="485">
                  <c:v>0.1912643347407898</c:v>
                </c:pt>
                <c:pt idx="486">
                  <c:v>0.19138605945679954</c:v>
                </c:pt>
                <c:pt idx="487">
                  <c:v>0.19150747065319401</c:v>
                </c:pt>
                <c:pt idx="488">
                  <c:v>0.19162856945230902</c:v>
                </c:pt>
                <c:pt idx="489">
                  <c:v>0.19174935697068898</c:v>
                </c:pt>
                <c:pt idx="490">
                  <c:v>0.19186983431912796</c:v>
                </c:pt>
                <c:pt idx="491">
                  <c:v>0.19199000260271015</c:v>
                </c:pt>
                <c:pt idx="492">
                  <c:v>0.19210986292085008</c:v>
                </c:pt>
                <c:pt idx="493">
                  <c:v>0.19222941636733251</c:v>
                </c:pt>
                <c:pt idx="494">
                  <c:v>0.19234866403035181</c:v>
                </c:pt>
                <c:pt idx="495">
                  <c:v>0.19246760699255117</c:v>
                </c:pt>
                <c:pt idx="496">
                  <c:v>0.19258624633106128</c:v>
                </c:pt>
                <c:pt idx="497">
                  <c:v>0.19270458311753882</c:v>
                </c:pt>
                <c:pt idx="498">
                  <c:v>0.19282261841820456</c:v>
                </c:pt>
                <c:pt idx="499">
                  <c:v>0.19294035329388101</c:v>
                </c:pt>
                <c:pt idx="500">
                  <c:v>0.19305778880002991</c:v>
                </c:pt>
                <c:pt idx="501">
                  <c:v>0.19317492598678926</c:v>
                </c:pt>
                <c:pt idx="502">
                  <c:v>0.19329176589901009</c:v>
                </c:pt>
                <c:pt idx="503">
                  <c:v>0.19340830957629288</c:v>
                </c:pt>
                <c:pt idx="504">
                  <c:v>0.19352455805302363</c:v>
                </c:pt>
                <c:pt idx="505">
                  <c:v>0.19364051235840971</c:v>
                </c:pt>
                <c:pt idx="506">
                  <c:v>0.19375617351651522</c:v>
                </c:pt>
                <c:pt idx="507">
                  <c:v>0.19387154254629627</c:v>
                </c:pt>
                <c:pt idx="508">
                  <c:v>0.19398662046163576</c:v>
                </c:pt>
                <c:pt idx="509">
                  <c:v>0.19410140827137792</c:v>
                </c:pt>
                <c:pt idx="510">
                  <c:v>0.19421590697936258</c:v>
                </c:pt>
                <c:pt idx="511">
                  <c:v>0.19433011758445914</c:v>
                </c:pt>
                <c:pt idx="512">
                  <c:v>0.19444404108060018</c:v>
                </c:pt>
                <c:pt idx="513">
                  <c:v>0.19455767845681479</c:v>
                </c:pt>
                <c:pt idx="514">
                  <c:v>0.19467103069726177</c:v>
                </c:pt>
                <c:pt idx="515">
                  <c:v>0.19478409878126229</c:v>
                </c:pt>
                <c:pt idx="516">
                  <c:v>0.19489688368333241</c:v>
                </c:pt>
                <c:pt idx="517">
                  <c:v>0.19500938637321538</c:v>
                </c:pt>
                <c:pt idx="518">
                  <c:v>0.19512160781591353</c:v>
                </c:pt>
                <c:pt idx="519">
                  <c:v>0.19523354897171996</c:v>
                </c:pt>
                <c:pt idx="520">
                  <c:v>0.19534521079624992</c:v>
                </c:pt>
                <c:pt idx="521">
                  <c:v>0.19545659424047199</c:v>
                </c:pt>
                <c:pt idx="522">
                  <c:v>0.19556770025073891</c:v>
                </c:pt>
                <c:pt idx="523">
                  <c:v>0.19567852976881822</c:v>
                </c:pt>
                <c:pt idx="524">
                  <c:v>0.19578908373192255</c:v>
                </c:pt>
                <c:pt idx="525">
                  <c:v>0.19589936307273983</c:v>
                </c:pt>
                <c:pt idx="526">
                  <c:v>0.19600936871946301</c:v>
                </c:pt>
                <c:pt idx="527">
                  <c:v>0.19611910159581966</c:v>
                </c:pt>
                <c:pt idx="528">
                  <c:v>0.19622856262110136</c:v>
                </c:pt>
                <c:pt idx="529">
                  <c:v>0.19633775271019277</c:v>
                </c:pt>
                <c:pt idx="530">
                  <c:v>0.19644667277360048</c:v>
                </c:pt>
                <c:pt idx="531">
                  <c:v>0.19655532371748155</c:v>
                </c:pt>
                <c:pt idx="532">
                  <c:v>0.19666370644367195</c:v>
                </c:pt>
                <c:pt idx="533">
                  <c:v>0.1967718218497147</c:v>
                </c:pt>
                <c:pt idx="534">
                  <c:v>0.19687967082888766</c:v>
                </c:pt>
                <c:pt idx="535">
                  <c:v>0.19698725427023131</c:v>
                </c:pt>
                <c:pt idx="536">
                  <c:v>0.19709457305857608</c:v>
                </c:pt>
                <c:pt idx="537">
                  <c:v>0.19720162807456967</c:v>
                </c:pt>
                <c:pt idx="538">
                  <c:v>0.1973084201947039</c:v>
                </c:pt>
                <c:pt idx="539">
                  <c:v>0.19741495029134157</c:v>
                </c:pt>
                <c:pt idx="540">
                  <c:v>0.19752121923274293</c:v>
                </c:pt>
                <c:pt idx="541">
                  <c:v>0.19762722788309203</c:v>
                </c:pt>
                <c:pt idx="542">
                  <c:v>0.19773297710252286</c:v>
                </c:pt>
                <c:pt idx="543">
                  <c:v>0.19783846774714511</c:v>
                </c:pt>
                <c:pt idx="544">
                  <c:v>0.19794370066907002</c:v>
                </c:pt>
                <c:pt idx="545">
                  <c:v>0.19804867671643572</c:v>
                </c:pt>
                <c:pt idx="546">
                  <c:v>0.19815339673343255</c:v>
                </c:pt>
                <c:pt idx="547">
                  <c:v>0.19825786156032804</c:v>
                </c:pt>
                <c:pt idx="548">
                  <c:v>0.19836207203349185</c:v>
                </c:pt>
                <c:pt idx="549">
                  <c:v>0.19846602898542037</c:v>
                </c:pt>
                <c:pt idx="550">
                  <c:v>0.19856973324476121</c:v>
                </c:pt>
                <c:pt idx="551">
                  <c:v>0.19867318563633737</c:v>
                </c:pt>
                <c:pt idx="552">
                  <c:v>0.19877638698117139</c:v>
                </c:pt>
                <c:pt idx="553">
                  <c:v>0.19887933809650918</c:v>
                </c:pt>
                <c:pt idx="554">
                  <c:v>0.19898203979584364</c:v>
                </c:pt>
                <c:pt idx="555">
                  <c:v>0.1990844928889382</c:v>
                </c:pt>
                <c:pt idx="556">
                  <c:v>0.19918669818185011</c:v>
                </c:pt>
                <c:pt idx="557">
                  <c:v>0.19928865647695354</c:v>
                </c:pt>
                <c:pt idx="558">
                  <c:v>0.19939036857296247</c:v>
                </c:pt>
                <c:pt idx="559">
                  <c:v>0.19949183526495348</c:v>
                </c:pt>
                <c:pt idx="560">
                  <c:v>0.19959305734438829</c:v>
                </c:pt>
                <c:pt idx="561">
                  <c:v>0.19969403559913609</c:v>
                </c:pt>
                <c:pt idx="562">
                  <c:v>0.19979477081349586</c:v>
                </c:pt>
                <c:pt idx="563">
                  <c:v>0.19989526376821826</c:v>
                </c:pt>
                <c:pt idx="564">
                  <c:v>0.19999551524052758</c:v>
                </c:pt>
                <c:pt idx="565">
                  <c:v>0.2000955260041434</c:v>
                </c:pt>
                <c:pt idx="566">
                  <c:v>0.20019529682930209</c:v>
                </c:pt>
                <c:pt idx="567">
                  <c:v>0.20029482848277813</c:v>
                </c:pt>
                <c:pt idx="568">
                  <c:v>0.20039412172790533</c:v>
                </c:pt>
                <c:pt idx="569">
                  <c:v>0.20049317732459782</c:v>
                </c:pt>
                <c:pt idx="570">
                  <c:v>0.20059199602937086</c:v>
                </c:pt>
                <c:pt idx="571">
                  <c:v>0.2006905785953616</c:v>
                </c:pt>
                <c:pt idx="572">
                  <c:v>0.2007889257723495</c:v>
                </c:pt>
                <c:pt idx="573">
                  <c:v>0.20088703830677679</c:v>
                </c:pt>
                <c:pt idx="574">
                  <c:v>0.20098491694176862</c:v>
                </c:pt>
                <c:pt idx="575">
                  <c:v>0.20108256241715311</c:v>
                </c:pt>
                <c:pt idx="576">
                  <c:v>0.20117997546948124</c:v>
                </c:pt>
                <c:pt idx="577">
                  <c:v>0.20127715683204661</c:v>
                </c:pt>
                <c:pt idx="578">
                  <c:v>0.20137410723490501</c:v>
                </c:pt>
                <c:pt idx="579">
                  <c:v>0.20147082740489383</c:v>
                </c:pt>
                <c:pt idx="580">
                  <c:v>0.2015673180656514</c:v>
                </c:pt>
                <c:pt idx="581">
                  <c:v>0.20166357993763612</c:v>
                </c:pt>
                <c:pt idx="582">
                  <c:v>0.20175961373814538</c:v>
                </c:pt>
                <c:pt idx="583">
                  <c:v>0.20185542018133454</c:v>
                </c:pt>
                <c:pt idx="584">
                  <c:v>0.20195099997823548</c:v>
                </c:pt>
                <c:pt idx="585">
                  <c:v>0.20204635383677527</c:v>
                </c:pt>
                <c:pt idx="586">
                  <c:v>0.20214148246179453</c:v>
                </c:pt>
                <c:pt idx="587">
                  <c:v>0.20223638655506576</c:v>
                </c:pt>
                <c:pt idx="588">
                  <c:v>0.20233106681531146</c:v>
                </c:pt>
                <c:pt idx="589">
                  <c:v>0.20242552393822208</c:v>
                </c:pt>
                <c:pt idx="590">
                  <c:v>0.202519758616474</c:v>
                </c:pt>
                <c:pt idx="591">
                  <c:v>0.20261377153974713</c:v>
                </c:pt>
                <c:pt idx="592">
                  <c:v>0.20270756339474266</c:v>
                </c:pt>
                <c:pt idx="593">
                  <c:v>0.20280113486520035</c:v>
                </c:pt>
                <c:pt idx="594">
                  <c:v>0.20289448663191606</c:v>
                </c:pt>
                <c:pt idx="595">
                  <c:v>0.20298761937275878</c:v>
                </c:pt>
                <c:pt idx="596">
                  <c:v>0.20308053376268781</c:v>
                </c:pt>
                <c:pt idx="597">
                  <c:v>0.20317323047376973</c:v>
                </c:pt>
                <c:pt idx="598">
                  <c:v>0.20326571017519512</c:v>
                </c:pt>
                <c:pt idx="599">
                  <c:v>0.20335797353329535</c:v>
                </c:pt>
                <c:pt idx="600">
                  <c:v>0.20345002121155911</c:v>
                </c:pt>
                <c:pt idx="601">
                  <c:v>0.20354185387064891</c:v>
                </c:pt>
                <c:pt idx="602">
                  <c:v>0.20363347216841732</c:v>
                </c:pt>
                <c:pt idx="603">
                  <c:v>0.20372487675992326</c:v>
                </c:pt>
                <c:pt idx="604">
                  <c:v>0.20381606829744811</c:v>
                </c:pt>
                <c:pt idx="605">
                  <c:v>0.20390704743051155</c:v>
                </c:pt>
                <c:pt idx="606">
                  <c:v>0.20399781480588758</c:v>
                </c:pt>
                <c:pt idx="607">
                  <c:v>0.20408837106762012</c:v>
                </c:pt>
                <c:pt idx="608">
                  <c:v>0.20417871685703873</c:v>
                </c:pt>
                <c:pt idx="609">
                  <c:v>0.20426885281277402</c:v>
                </c:pt>
                <c:pt idx="610">
                  <c:v>0.20435877957077314</c:v>
                </c:pt>
                <c:pt idx="611">
                  <c:v>0.20444849776431503</c:v>
                </c:pt>
                <c:pt idx="612">
                  <c:v>0.20453800802402558</c:v>
                </c:pt>
                <c:pt idx="613">
                  <c:v>0.20462731097789266</c:v>
                </c:pt>
                <c:pt idx="614">
                  <c:v>0.20471640725128112</c:v>
                </c:pt>
                <c:pt idx="615">
                  <c:v>0.20480529746694762</c:v>
                </c:pt>
                <c:pt idx="616">
                  <c:v>0.20489398224505534</c:v>
                </c:pt>
                <c:pt idx="617">
                  <c:v>0.20498246220318864</c:v>
                </c:pt>
                <c:pt idx="618">
                  <c:v>0.20507073795636757</c:v>
                </c:pt>
                <c:pt idx="619">
                  <c:v>0.2051588101170623</c:v>
                </c:pt>
                <c:pt idx="620">
                  <c:v>0.2052466792952074</c:v>
                </c:pt>
                <c:pt idx="621">
                  <c:v>0.2053343460982161</c:v>
                </c:pt>
                <c:pt idx="622">
                  <c:v>0.20542181113099434</c:v>
                </c:pt>
                <c:pt idx="623">
                  <c:v>0.20550907499595483</c:v>
                </c:pt>
                <c:pt idx="624">
                  <c:v>0.20559613829303097</c:v>
                </c:pt>
                <c:pt idx="625">
                  <c:v>0.20568300161969058</c:v>
                </c:pt>
                <c:pt idx="626">
                  <c:v>0.20576966557094969</c:v>
                </c:pt>
                <c:pt idx="627">
                  <c:v>0.20585613073938613</c:v>
                </c:pt>
                <c:pt idx="628">
                  <c:v>0.20594239771515302</c:v>
                </c:pt>
                <c:pt idx="629">
                  <c:v>0.20602846708599223</c:v>
                </c:pt>
                <c:pt idx="630">
                  <c:v>0.20611433943724769</c:v>
                </c:pt>
                <c:pt idx="631">
                  <c:v>0.2062000153518786</c:v>
                </c:pt>
                <c:pt idx="632">
                  <c:v>0.20628549541047259</c:v>
                </c:pt>
                <c:pt idx="633">
                  <c:v>0.20637078019125879</c:v>
                </c:pt>
                <c:pt idx="634">
                  <c:v>0.20645587027012072</c:v>
                </c:pt>
                <c:pt idx="635">
                  <c:v>0.20654076622060924</c:v>
                </c:pt>
                <c:pt idx="636">
                  <c:v>0.20662546861395523</c:v>
                </c:pt>
                <c:pt idx="637">
                  <c:v>0.20670997801908231</c:v>
                </c:pt>
                <c:pt idx="638">
                  <c:v>0.20679429500261948</c:v>
                </c:pt>
                <c:pt idx="639">
                  <c:v>0.20687842012891355</c:v>
                </c:pt>
                <c:pt idx="640">
                  <c:v>0.20696235396004162</c:v>
                </c:pt>
                <c:pt idx="641">
                  <c:v>0.20704609705582336</c:v>
                </c:pt>
                <c:pt idx="642">
                  <c:v>0.20712964997383332</c:v>
                </c:pt>
                <c:pt idx="643">
                  <c:v>0.20721301326941305</c:v>
                </c:pt>
                <c:pt idx="644">
                  <c:v>0.20729618749568318</c:v>
                </c:pt>
                <c:pt idx="645">
                  <c:v>0.20737917320355542</c:v>
                </c:pt>
                <c:pt idx="646">
                  <c:v>0.20746197094174448</c:v>
                </c:pt>
                <c:pt idx="647">
                  <c:v>0.20754458125677985</c:v>
                </c:pt>
                <c:pt idx="648">
                  <c:v>0.20762700469301765</c:v>
                </c:pt>
                <c:pt idx="649">
                  <c:v>0.20770924179265221</c:v>
                </c:pt>
                <c:pt idx="650">
                  <c:v>0.20779129309572766</c:v>
                </c:pt>
                <c:pt idx="651">
                  <c:v>0.2078731591401495</c:v>
                </c:pt>
                <c:pt idx="652">
                  <c:v>0.20795484046169596</c:v>
                </c:pt>
                <c:pt idx="653">
                  <c:v>0.20803633759402937</c:v>
                </c:pt>
                <c:pt idx="654">
                  <c:v>0.20811765106870747</c:v>
                </c:pt>
                <c:pt idx="655">
                  <c:v>0.2081987814151946</c:v>
                </c:pt>
                <c:pt idx="656">
                  <c:v>0.20827972916087273</c:v>
                </c:pt>
                <c:pt idx="657">
                  <c:v>0.20836049483105265</c:v>
                </c:pt>
                <c:pt idx="658">
                  <c:v>0.20844107894898481</c:v>
                </c:pt>
                <c:pt idx="659">
                  <c:v>0.20852148203587026</c:v>
                </c:pt>
                <c:pt idx="660">
                  <c:v>0.20860170461087155</c:v>
                </c:pt>
                <c:pt idx="661">
                  <c:v>0.20868174719112334</c:v>
                </c:pt>
                <c:pt idx="662">
                  <c:v>0.20876161029174317</c:v>
                </c:pt>
                <c:pt idx="663">
                  <c:v>0.20884129442584204</c:v>
                </c:pt>
                <c:pt idx="664">
                  <c:v>0.20892080010453495</c:v>
                </c:pt>
                <c:pt idx="665">
                  <c:v>0.20900012783695135</c:v>
                </c:pt>
                <c:pt idx="666">
                  <c:v>0.20907927813024552</c:v>
                </c:pt>
                <c:pt idx="667">
                  <c:v>0.20915825148960693</c:v>
                </c:pt>
                <c:pt idx="668">
                  <c:v>0.20923704841827048</c:v>
                </c:pt>
                <c:pt idx="669">
                  <c:v>0.20931566941752666</c:v>
                </c:pt>
                <c:pt idx="670">
                  <c:v>0.20939411498673166</c:v>
                </c:pt>
                <c:pt idx="671">
                  <c:v>0.20947238562331752</c:v>
                </c:pt>
                <c:pt idx="672">
                  <c:v>0.20955048182280195</c:v>
                </c:pt>
                <c:pt idx="673">
                  <c:v>0.2096284040787984</c:v>
                </c:pt>
                <c:pt idx="674">
                  <c:v>0.20970615288302583</c:v>
                </c:pt>
                <c:pt idx="675">
                  <c:v>0.20978372872531847</c:v>
                </c:pt>
                <c:pt idx="676">
                  <c:v>0.20986113209363566</c:v>
                </c:pt>
                <c:pt idx="677">
                  <c:v>0.20993836347407138</c:v>
                </c:pt>
                <c:pt idx="678">
                  <c:v>0.21001542335086393</c:v>
                </c:pt>
                <c:pt idx="679">
                  <c:v>0.21009231220640537</c:v>
                </c:pt>
                <c:pt idx="680">
                  <c:v>0.21016903052125108</c:v>
                </c:pt>
                <c:pt idx="681">
                  <c:v>0.21024557877412911</c:v>
                </c:pt>
                <c:pt idx="682">
                  <c:v>0.21032195744194959</c:v>
                </c:pt>
                <c:pt idx="683">
                  <c:v>0.21039816699981392</c:v>
                </c:pt>
                <c:pt idx="684">
                  <c:v>0.21047420792102406</c:v>
                </c:pt>
                <c:pt idx="685">
                  <c:v>0.21055008067709163</c:v>
                </c:pt>
                <c:pt idx="686">
                  <c:v>0.21062578573774712</c:v>
                </c:pt>
                <c:pt idx="687">
                  <c:v>0.21070132357094884</c:v>
                </c:pt>
                <c:pt idx="688">
                  <c:v>0.21077669464289192</c:v>
                </c:pt>
                <c:pt idx="689">
                  <c:v>0.2108518994180173</c:v>
                </c:pt>
                <c:pt idx="690">
                  <c:v>0.21092693835902046</c:v>
                </c:pt>
                <c:pt idx="691">
                  <c:v>0.21100181192686041</c:v>
                </c:pt>
                <c:pt idx="692">
                  <c:v>0.21107652058076828</c:v>
                </c:pt>
                <c:pt idx="693">
                  <c:v>0.21115106477825615</c:v>
                </c:pt>
                <c:pt idx="694">
                  <c:v>0.2112254449751256</c:v>
                </c:pt>
                <c:pt idx="695">
                  <c:v>0.21129966162547634</c:v>
                </c:pt>
                <c:pt idx="696">
                  <c:v>0.21137371518171474</c:v>
                </c:pt>
                <c:pt idx="697">
                  <c:v>0.21144760609456234</c:v>
                </c:pt>
                <c:pt idx="698">
                  <c:v>0.21152133481306415</c:v>
                </c:pt>
                <c:pt idx="699">
                  <c:v>0.21159490178459717</c:v>
                </c:pt>
                <c:pt idx="700">
                  <c:v>0.21166830745487858</c:v>
                </c:pt>
                <c:pt idx="701">
                  <c:v>0.21174155226797411</c:v>
                </c:pt>
                <c:pt idx="702">
                  <c:v>0.21181463666630621</c:v>
                </c:pt>
                <c:pt idx="703">
                  <c:v>0.21188756109066215</c:v>
                </c:pt>
                <c:pt idx="704">
                  <c:v>0.21196032598020217</c:v>
                </c:pt>
                <c:pt idx="705">
                  <c:v>0.2120329317724676</c:v>
                </c:pt>
                <c:pt idx="706">
                  <c:v>0.21210537890338874</c:v>
                </c:pt>
                <c:pt idx="707">
                  <c:v>0.21217766780729289</c:v>
                </c:pt>
                <c:pt idx="708">
                  <c:v>0.21224979891691223</c:v>
                </c:pt>
                <c:pt idx="709">
                  <c:v>0.21232177266339172</c:v>
                </c:pt>
                <c:pt idx="710">
                  <c:v>0.21239358947629683</c:v>
                </c:pt>
                <c:pt idx="711">
                  <c:v>0.21246524978362133</c:v>
                </c:pt>
                <c:pt idx="712">
                  <c:v>0.212536754011795</c:v>
                </c:pt>
                <c:pt idx="713">
                  <c:v>0.21260810258569129</c:v>
                </c:pt>
                <c:pt idx="714">
                  <c:v>0.21267929592863491</c:v>
                </c:pt>
                <c:pt idx="715">
                  <c:v>0.21275033446240937</c:v>
                </c:pt>
                <c:pt idx="716">
                  <c:v>0.21282121860726461</c:v>
                </c:pt>
                <c:pt idx="717">
                  <c:v>0.2128919487819243</c:v>
                </c:pt>
                <c:pt idx="718">
                  <c:v>0.21296252540359342</c:v>
                </c:pt>
                <c:pt idx="719">
                  <c:v>0.21303294888796551</c:v>
                </c:pt>
                <c:pt idx="720">
                  <c:v>0.21310321964923007</c:v>
                </c:pt>
                <c:pt idx="721">
                  <c:v>0.21317333810007982</c:v>
                </c:pt>
                <c:pt idx="722">
                  <c:v>0.21324330465171795</c:v>
                </c:pt>
                <c:pt idx="723">
                  <c:v>0.21331311971386532</c:v>
                </c:pt>
                <c:pt idx="724">
                  <c:v>0.2133827836947676</c:v>
                </c:pt>
                <c:pt idx="725">
                  <c:v>0.21345229700120236</c:v>
                </c:pt>
                <c:pt idx="726">
                  <c:v>0.21352166003848616</c:v>
                </c:pt>
                <c:pt idx="727">
                  <c:v>0.21359087321048156</c:v>
                </c:pt>
                <c:pt idx="728">
                  <c:v>0.21365993691960408</c:v>
                </c:pt>
                <c:pt idx="729">
                  <c:v>0.21372885156682914</c:v>
                </c:pt>
                <c:pt idx="730">
                  <c:v>0.21379761755169899</c:v>
                </c:pt>
                <c:pt idx="731">
                  <c:v>0.21386623527232948</c:v>
                </c:pt>
                <c:pt idx="732">
                  <c:v>0.21393470512541693</c:v>
                </c:pt>
                <c:pt idx="733">
                  <c:v>0.21400302750624489</c:v>
                </c:pt>
                <c:pt idx="734">
                  <c:v>0.21407120280869082</c:v>
                </c:pt>
                <c:pt idx="735">
                  <c:v>0.21413923142523281</c:v>
                </c:pt>
                <c:pt idx="736">
                  <c:v>0.21420711374695622</c:v>
                </c:pt>
                <c:pt idx="737">
                  <c:v>0.21427485016356029</c:v>
                </c:pt>
                <c:pt idx="738">
                  <c:v>0.21434244106336467</c:v>
                </c:pt>
                <c:pt idx="739">
                  <c:v>0.21440988683331594</c:v>
                </c:pt>
                <c:pt idx="740">
                  <c:v>0.21447718785899414</c:v>
                </c:pt>
                <c:pt idx="741">
                  <c:v>0.21454434452461921</c:v>
                </c:pt>
                <c:pt idx="742">
                  <c:v>0.2146113572130573</c:v>
                </c:pt>
                <c:pt idx="743">
                  <c:v>0.21467822630582728</c:v>
                </c:pt>
                <c:pt idx="744">
                  <c:v>0.21474495218310696</c:v>
                </c:pt>
                <c:pt idx="745">
                  <c:v>0.21481153522373941</c:v>
                </c:pt>
                <c:pt idx="746">
                  <c:v>0.21487797580523926</c:v>
                </c:pt>
                <c:pt idx="747">
                  <c:v>0.21494427430379881</c:v>
                </c:pt>
                <c:pt idx="748">
                  <c:v>0.21501043109429432</c:v>
                </c:pt>
                <c:pt idx="749">
                  <c:v>0.21507644655029209</c:v>
                </c:pt>
                <c:pt idx="750">
                  <c:v>0.21514232104405456</c:v>
                </c:pt>
                <c:pt idx="751">
                  <c:v>0.21520805494654641</c:v>
                </c:pt>
                <c:pt idx="752">
                  <c:v>0.21527364862744058</c:v>
                </c:pt>
                <c:pt idx="753">
                  <c:v>0.21533910245512425</c:v>
                </c:pt>
                <c:pt idx="754">
                  <c:v>0.21540441679670483</c:v>
                </c:pt>
                <c:pt idx="755">
                  <c:v>0.21546959201801585</c:v>
                </c:pt>
                <c:pt idx="756">
                  <c:v>0.2155346284836229</c:v>
                </c:pt>
                <c:pt idx="757">
                  <c:v>0.2155995265568294</c:v>
                </c:pt>
                <c:pt idx="758">
                  <c:v>0.21566428659968251</c:v>
                </c:pt>
                <c:pt idx="759">
                  <c:v>0.21572890897297889</c:v>
                </c:pt>
                <c:pt idx="760">
                  <c:v>0.2157933940362704</c:v>
                </c:pt>
                <c:pt idx="761">
                  <c:v>0.21585774214786993</c:v>
                </c:pt>
                <c:pt idx="762">
                  <c:v>0.21592195366485697</c:v>
                </c:pt>
                <c:pt idx="763">
                  <c:v>0.21598602894308333</c:v>
                </c:pt>
                <c:pt idx="764">
                  <c:v>0.21604996833717871</c:v>
                </c:pt>
                <c:pt idx="765">
                  <c:v>0.21611377220055636</c:v>
                </c:pt>
                <c:pt idx="766">
                  <c:v>0.21617744088541854</c:v>
                </c:pt>
                <c:pt idx="767">
                  <c:v>0.2162409747427621</c:v>
                </c:pt>
                <c:pt idx="768">
                  <c:v>0.21630437412238399</c:v>
                </c:pt>
                <c:pt idx="769">
                  <c:v>0.21636763937288664</c:v>
                </c:pt>
                <c:pt idx="770">
                  <c:v>0.21643077084168347</c:v>
                </c:pt>
                <c:pt idx="771">
                  <c:v>0.21649376887500421</c:v>
                </c:pt>
                <c:pt idx="772">
                  <c:v>0.21655663381790033</c:v>
                </c:pt>
                <c:pt idx="773">
                  <c:v>0.2166193660142503</c:v>
                </c:pt>
                <c:pt idx="774">
                  <c:v>0.21668196580676494</c:v>
                </c:pt>
                <c:pt idx="775">
                  <c:v>0.21674443353699266</c:v>
                </c:pt>
                <c:pt idx="776">
                  <c:v>0.21680676954532477</c:v>
                </c:pt>
                <c:pt idx="777">
                  <c:v>0.21686897417100057</c:v>
                </c:pt>
                <c:pt idx="778">
                  <c:v>0.21693104775211264</c:v>
                </c:pt>
                <c:pt idx="779">
                  <c:v>0.21699299062561195</c:v>
                </c:pt>
                <c:pt idx="780">
                  <c:v>0.21705480312731293</c:v>
                </c:pt>
                <c:pt idx="781">
                  <c:v>0.21711648559189864</c:v>
                </c:pt>
                <c:pt idx="782">
                  <c:v>0.21717803835292579</c:v>
                </c:pt>
                <c:pt idx="783">
                  <c:v>0.21723946174282979</c:v>
                </c:pt>
                <c:pt idx="784">
                  <c:v>0.21730075609292973</c:v>
                </c:pt>
                <c:pt idx="785">
                  <c:v>0.21736192173343338</c:v>
                </c:pt>
                <c:pt idx="786">
                  <c:v>0.21742295899344213</c:v>
                </c:pt>
                <c:pt idx="787">
                  <c:v>0.21748386820095592</c:v>
                </c:pt>
                <c:pt idx="788">
                  <c:v>0.21754464968287807</c:v>
                </c:pt>
                <c:pt idx="789">
                  <c:v>0.21760530376502021</c:v>
                </c:pt>
                <c:pt idx="790">
                  <c:v>0.21766583077210716</c:v>
                </c:pt>
                <c:pt idx="791">
                  <c:v>0.2177262310277816</c:v>
                </c:pt>
                <c:pt idx="792">
                  <c:v>0.21778650485460896</c:v>
                </c:pt>
                <c:pt idx="793">
                  <c:v>0.21784665257408212</c:v>
                </c:pt>
                <c:pt idx="794">
                  <c:v>0.21790667450662621</c:v>
                </c:pt>
                <c:pt idx="795">
                  <c:v>0.21796657097160319</c:v>
                </c:pt>
                <c:pt idx="796">
                  <c:v>0.21802634228731665</c:v>
                </c:pt>
                <c:pt idx="797">
                  <c:v>0.2180859887710164</c:v>
                </c:pt>
                <c:pt idx="798">
                  <c:v>0.21814551073890306</c:v>
                </c:pt>
                <c:pt idx="799">
                  <c:v>0.21820490850613272</c:v>
                </c:pt>
                <c:pt idx="800">
                  <c:v>0.21826418238682149</c:v>
                </c:pt>
                <c:pt idx="801">
                  <c:v>0.21832333269405002</c:v>
                </c:pt>
                <c:pt idx="802">
                  <c:v>0.21838235973986803</c:v>
                </c:pt>
                <c:pt idx="803">
                  <c:v>0.21844126383529885</c:v>
                </c:pt>
                <c:pt idx="804">
                  <c:v>0.21850004529034384</c:v>
                </c:pt>
                <c:pt idx="805">
                  <c:v>0.21855870441398681</c:v>
                </c:pt>
                <c:pt idx="806">
                  <c:v>0.21861724151419851</c:v>
                </c:pt>
                <c:pt idx="807">
                  <c:v>0.218675656897941</c:v>
                </c:pt>
                <c:pt idx="808">
                  <c:v>0.21873395087117201</c:v>
                </c:pt>
                <c:pt idx="809">
                  <c:v>0.21879212373884926</c:v>
                </c:pt>
                <c:pt idx="810">
                  <c:v>0.21885017580493485</c:v>
                </c:pt>
                <c:pt idx="811">
                  <c:v>0.21890810737239952</c:v>
                </c:pt>
                <c:pt idx="812">
                  <c:v>0.21896591874322691</c:v>
                </c:pt>
                <c:pt idx="813">
                  <c:v>0.21902361021841785</c:v>
                </c:pt>
                <c:pt idx="814">
                  <c:v>0.21908118209799457</c:v>
                </c:pt>
                <c:pt idx="815">
                  <c:v>0.21913863468100489</c:v>
                </c:pt>
                <c:pt idx="816">
                  <c:v>0.21919596826552643</c:v>
                </c:pt>
                <c:pt idx="817">
                  <c:v>0.21925318314867076</c:v>
                </c:pt>
                <c:pt idx="818">
                  <c:v>0.21931027962658753</c:v>
                </c:pt>
                <c:pt idx="819">
                  <c:v>0.21936725799446855</c:v>
                </c:pt>
                <c:pt idx="820">
                  <c:v>0.21942411854655197</c:v>
                </c:pt>
                <c:pt idx="821">
                  <c:v>0.21948086157612628</c:v>
                </c:pt>
                <c:pt idx="822">
                  <c:v>0.21953748737553441</c:v>
                </c:pt>
                <c:pt idx="823">
                  <c:v>0.21959399623617765</c:v>
                </c:pt>
                <c:pt idx="824">
                  <c:v>0.21965038844851978</c:v>
                </c:pt>
                <c:pt idx="825">
                  <c:v>0.21970666430209096</c:v>
                </c:pt>
                <c:pt idx="826">
                  <c:v>0.21976282408549175</c:v>
                </c:pt>
                <c:pt idx="827">
                  <c:v>0.219818868086397</c:v>
                </c:pt>
                <c:pt idx="828">
                  <c:v>0.21987479659155984</c:v>
                </c:pt>
                <c:pt idx="829">
                  <c:v>0.21993060988681548</c:v>
                </c:pt>
                <c:pt idx="830">
                  <c:v>0.21998630825708515</c:v>
                </c:pt>
                <c:pt idx="831">
                  <c:v>0.22004189198637991</c:v>
                </c:pt>
                <c:pt idx="832">
                  <c:v>0.22009736135780458</c:v>
                </c:pt>
                <c:pt idx="833">
                  <c:v>0.2201527166535614</c:v>
                </c:pt>
                <c:pt idx="834">
                  <c:v>0.22020795815495395</c:v>
                </c:pt>
                <c:pt idx="835">
                  <c:v>0.22026308614239087</c:v>
                </c:pt>
                <c:pt idx="836">
                  <c:v>0.22031810089538964</c:v>
                </c:pt>
                <c:pt idx="837">
                  <c:v>0.22037300269258023</c:v>
                </c:pt>
                <c:pt idx="838">
                  <c:v>0.22042779181170893</c:v>
                </c:pt>
                <c:pt idx="839">
                  <c:v>0.22048246852964198</c:v>
                </c:pt>
                <c:pt idx="840">
                  <c:v>0.22053703312236922</c:v>
                </c:pt>
                <c:pt idx="841">
                  <c:v>0.22059148586500779</c:v>
                </c:pt>
                <c:pt idx="842">
                  <c:v>0.22064582703180574</c:v>
                </c:pt>
                <c:pt idx="843">
                  <c:v>0.22070005689614566</c:v>
                </c:pt>
                <c:pt idx="844">
                  <c:v>0.22075417573054823</c:v>
                </c:pt>
                <c:pt idx="845">
                  <c:v>0.22080818380667586</c:v>
                </c:pt>
                <c:pt idx="846">
                  <c:v>0.22086208139533617</c:v>
                </c:pt>
                <c:pt idx="847">
                  <c:v>0.22091586876648564</c:v>
                </c:pt>
                <c:pt idx="848">
                  <c:v>0.22096954618923303</c:v>
                </c:pt>
                <c:pt idx="849">
                  <c:v>0.22102311393184293</c:v>
                </c:pt>
                <c:pt idx="850">
                  <c:v>0.22107657226173918</c:v>
                </c:pt>
                <c:pt idx="851">
                  <c:v>0.22112992144550844</c:v>
                </c:pt>
                <c:pt idx="852">
                  <c:v>0.22118316174890354</c:v>
                </c:pt>
                <c:pt idx="853">
                  <c:v>0.22123629343684695</c:v>
                </c:pt>
                <c:pt idx="854">
                  <c:v>0.22128931677343419</c:v>
                </c:pt>
                <c:pt idx="855">
                  <c:v>0.22134223202193723</c:v>
                </c:pt>
                <c:pt idx="856">
                  <c:v>0.22139503944480782</c:v>
                </c:pt>
                <c:pt idx="857">
                  <c:v>0.22144773930368089</c:v>
                </c:pt>
                <c:pt idx="858">
                  <c:v>0.22150033185937792</c:v>
                </c:pt>
                <c:pt idx="859">
                  <c:v>0.22155281737191015</c:v>
                </c:pt>
                <c:pt idx="860">
                  <c:v>0.22160519610048202</c:v>
                </c:pt>
                <c:pt idx="861">
                  <c:v>0.22165746830349431</c:v>
                </c:pt>
                <c:pt idx="862">
                  <c:v>0.22170963423854756</c:v>
                </c:pt>
                <c:pt idx="863">
                  <c:v>0.22176169416244523</c:v>
                </c:pt>
                <c:pt idx="864">
                  <c:v>0.22181364833119699</c:v>
                </c:pt>
                <c:pt idx="865">
                  <c:v>0.22186549700002184</c:v>
                </c:pt>
                <c:pt idx="866">
                  <c:v>0.22191724042335145</c:v>
                </c:pt>
                <c:pt idx="867">
                  <c:v>0.22196887885483327</c:v>
                </c:pt>
                <c:pt idx="868">
                  <c:v>0.22202041254733368</c:v>
                </c:pt>
                <c:pt idx="869">
                  <c:v>0.22207184175294117</c:v>
                </c:pt>
                <c:pt idx="870">
                  <c:v>0.22212316672296953</c:v>
                </c:pt>
                <c:pt idx="871">
                  <c:v>0.22217438770796089</c:v>
                </c:pt>
                <c:pt idx="872">
                  <c:v>0.22222550495768884</c:v>
                </c:pt>
                <c:pt idx="873">
                  <c:v>0.22227651872116155</c:v>
                </c:pt>
                <c:pt idx="874">
                  <c:v>0.22232742924662488</c:v>
                </c:pt>
                <c:pt idx="875">
                  <c:v>0.22237823678156532</c:v>
                </c:pt>
                <c:pt idx="876">
                  <c:v>0.22242894157271312</c:v>
                </c:pt>
                <c:pt idx="877">
                  <c:v>0.22247954386604532</c:v>
                </c:pt>
                <c:pt idx="878">
                  <c:v>0.22253004390678871</c:v>
                </c:pt>
                <c:pt idx="879">
                  <c:v>0.22258044193942289</c:v>
                </c:pt>
                <c:pt idx="880">
                  <c:v>0.22263073820768317</c:v>
                </c:pt>
                <c:pt idx="881">
                  <c:v>0.22268093295456359</c:v>
                </c:pt>
                <c:pt idx="882">
                  <c:v>0.2227310264223199</c:v>
                </c:pt>
                <c:pt idx="883">
                  <c:v>0.2227810188524724</c:v>
                </c:pt>
                <c:pt idx="884">
                  <c:v>0.22283091048580897</c:v>
                </c:pt>
                <c:pt idx="885">
                  <c:v>0.2228807015623879</c:v>
                </c:pt>
                <c:pt idx="886">
                  <c:v>0.22293039232154077</c:v>
                </c:pt>
                <c:pt idx="887">
                  <c:v>0.22297998300187544</c:v>
                </c:pt>
                <c:pt idx="888">
                  <c:v>0.22302947384127875</c:v>
                </c:pt>
                <c:pt idx="889">
                  <c:v>0.22307886507691949</c:v>
                </c:pt>
                <c:pt idx="890">
                  <c:v>0.22312815694525118</c:v>
                </c:pt>
                <c:pt idx="891">
                  <c:v>0.22317734968201491</c:v>
                </c:pt>
                <c:pt idx="892">
                  <c:v>0.22322644352224216</c:v>
                </c:pt>
                <c:pt idx="893">
                  <c:v>0.22327543870025754</c:v>
                </c:pt>
                <c:pt idx="894">
                  <c:v>0.22332433544968158</c:v>
                </c:pt>
                <c:pt idx="895">
                  <c:v>0.22337313400343353</c:v>
                </c:pt>
                <c:pt idx="896">
                  <c:v>0.2234218345937341</c:v>
                </c:pt>
                <c:pt idx="897">
                  <c:v>0.22347043745210815</c:v>
                </c:pt>
                <c:pt idx="898">
                  <c:v>0.22351894280938747</c:v>
                </c:pt>
                <c:pt idx="899">
                  <c:v>0.22356735089571345</c:v>
                </c:pt>
                <c:pt idx="900">
                  <c:v>0.22361566194053978</c:v>
                </c:pt>
                <c:pt idx="901">
                  <c:v>0.22366387617263514</c:v>
                </c:pt>
                <c:pt idx="902">
                  <c:v>0.22371199382008589</c:v>
                </c:pt>
                <c:pt idx="903">
                  <c:v>0.22376001511029869</c:v>
                </c:pt>
                <c:pt idx="904">
                  <c:v>0.22380794027000314</c:v>
                </c:pt>
                <c:pt idx="905">
                  <c:v>0.22385576952525441</c:v>
                </c:pt>
                <c:pt idx="906">
                  <c:v>0.22390350310143589</c:v>
                </c:pt>
                <c:pt idx="907">
                  <c:v>0.22395114122326176</c:v>
                </c:pt>
                <c:pt idx="908">
                  <c:v>0.22399868411477961</c:v>
                </c:pt>
                <c:pt idx="909">
                  <c:v>0.22404613199937295</c:v>
                </c:pt>
                <c:pt idx="910">
                  <c:v>0.2240934850997639</c:v>
                </c:pt>
                <c:pt idx="911">
                  <c:v>0.22414074363801556</c:v>
                </c:pt>
                <c:pt idx="912">
                  <c:v>0.22418790783553472</c:v>
                </c:pt>
                <c:pt idx="913">
                  <c:v>0.22423497791307428</c:v>
                </c:pt>
                <c:pt idx="914">
                  <c:v>0.22428195409073587</c:v>
                </c:pt>
                <c:pt idx="915">
                  <c:v>0.2243288365879722</c:v>
                </c:pt>
                <c:pt idx="916">
                  <c:v>0.22437562562358968</c:v>
                </c:pt>
                <c:pt idx="917">
                  <c:v>0.22442232141575083</c:v>
                </c:pt>
                <c:pt idx="918">
                  <c:v>0.22446892418197678</c:v>
                </c:pt>
                <c:pt idx="919">
                  <c:v>0.22451543413914973</c:v>
                </c:pt>
                <c:pt idx="920">
                  <c:v>0.22456185150351535</c:v>
                </c:pt>
                <c:pt idx="921">
                  <c:v>0.22460817649068524</c:v>
                </c:pt>
                <c:pt idx="922">
                  <c:v>0.22465440931563932</c:v>
                </c:pt>
                <c:pt idx="923">
                  <c:v>0.2247005501927283</c:v>
                </c:pt>
                <c:pt idx="924">
                  <c:v>0.22474659933567601</c:v>
                </c:pt>
                <c:pt idx="925">
                  <c:v>0.22479255695758177</c:v>
                </c:pt>
                <c:pt idx="926">
                  <c:v>0.22483842327092282</c:v>
                </c:pt>
                <c:pt idx="927">
                  <c:v>0.2248841984875567</c:v>
                </c:pt>
                <c:pt idx="928">
                  <c:v>0.22492988281872348</c:v>
                </c:pt>
                <c:pt idx="929">
                  <c:v>0.22497547647504823</c:v>
                </c:pt>
                <c:pt idx="930">
                  <c:v>0.22502097966654325</c:v>
                </c:pt>
                <c:pt idx="931">
                  <c:v>0.22506639260261041</c:v>
                </c:pt>
                <c:pt idx="932">
                  <c:v>0.22511171549204353</c:v>
                </c:pt>
                <c:pt idx="933">
                  <c:v>0.22515694854303056</c:v>
                </c:pt>
                <c:pt idx="934">
                  <c:v>0.22520209196315591</c:v>
                </c:pt>
                <c:pt idx="935">
                  <c:v>0.22524714595940271</c:v>
                </c:pt>
                <c:pt idx="936">
                  <c:v>0.22529211073815511</c:v>
                </c:pt>
                <c:pt idx="937">
                  <c:v>0.22533698650520051</c:v>
                </c:pt>
                <c:pt idx="938">
                  <c:v>0.22538177346573174</c:v>
                </c:pt>
                <c:pt idx="939">
                  <c:v>0.22542647182434938</c:v>
                </c:pt>
                <c:pt idx="940">
                  <c:v>0.22547108178506392</c:v>
                </c:pt>
                <c:pt idx="941">
                  <c:v>0.22551560355129793</c:v>
                </c:pt>
                <c:pt idx="942">
                  <c:v>0.22556003732588839</c:v>
                </c:pt>
                <c:pt idx="943">
                  <c:v>0.22560438331108873</c:v>
                </c:pt>
                <c:pt idx="944">
                  <c:v>0.22564864170857107</c:v>
                </c:pt>
                <c:pt idx="945">
                  <c:v>0.2256928127194284</c:v>
                </c:pt>
                <c:pt idx="946">
                  <c:v>0.2257368965441767</c:v>
                </c:pt>
                <c:pt idx="947">
                  <c:v>0.22578089338275709</c:v>
                </c:pt>
                <c:pt idx="948">
                  <c:v>0.22582480343453798</c:v>
                </c:pt>
                <c:pt idx="949">
                  <c:v>0.22586862689831722</c:v>
                </c:pt>
                <c:pt idx="950">
                  <c:v>0.22591236397232414</c:v>
                </c:pt>
                <c:pt idx="951">
                  <c:v>0.22595601485422173</c:v>
                </c:pt>
                <c:pt idx="952">
                  <c:v>0.22599957974110865</c:v>
                </c:pt>
                <c:pt idx="953">
                  <c:v>0.22604305882952141</c:v>
                </c:pt>
                <c:pt idx="954">
                  <c:v>0.22608645231543636</c:v>
                </c:pt>
                <c:pt idx="955">
                  <c:v>0.22612976039427182</c:v>
                </c:pt>
                <c:pt idx="956">
                  <c:v>0.22617298326089011</c:v>
                </c:pt>
                <c:pt idx="957">
                  <c:v>0.2262161211095996</c:v>
                </c:pt>
                <c:pt idx="958">
                  <c:v>0.22625917413415669</c:v>
                </c:pt>
                <c:pt idx="959">
                  <c:v>0.22630214252776798</c:v>
                </c:pt>
                <c:pt idx="960">
                  <c:v>0.2263450264830921</c:v>
                </c:pt>
                <c:pt idx="961">
                  <c:v>0.22638782619224185</c:v>
                </c:pt>
                <c:pt idx="962">
                  <c:v>0.22643054184678615</c:v>
                </c:pt>
                <c:pt idx="963">
                  <c:v>0.22647317363775207</c:v>
                </c:pt>
                <c:pt idx="964">
                  <c:v>0.22651572175562676</c:v>
                </c:pt>
                <c:pt idx="965">
                  <c:v>0.22655818639035941</c:v>
                </c:pt>
                <c:pt idx="966">
                  <c:v>0.22660056773136328</c:v>
                </c:pt>
                <c:pt idx="967">
                  <c:v>0.22664286596751759</c:v>
                </c:pt>
                <c:pt idx="968">
                  <c:v>0.22668508128716952</c:v>
                </c:pt>
                <c:pt idx="969">
                  <c:v>0.22672721387813605</c:v>
                </c:pt>
                <c:pt idx="970">
                  <c:v>0.22676926392770599</c:v>
                </c:pt>
                <c:pt idx="971">
                  <c:v>0.22681123162264188</c:v>
                </c:pt>
                <c:pt idx="972">
                  <c:v>0.2268531171491818</c:v>
                </c:pt>
                <c:pt idx="973">
                  <c:v>0.22689492069304137</c:v>
                </c:pt>
                <c:pt idx="974">
                  <c:v>0.22693664243941564</c:v>
                </c:pt>
                <c:pt idx="975">
                  <c:v>0.22697828257298089</c:v>
                </c:pt>
                <c:pt idx="976">
                  <c:v>0.22701984127789659</c:v>
                </c:pt>
                <c:pt idx="977">
                  <c:v>0.22706131873780722</c:v>
                </c:pt>
                <c:pt idx="978">
                  <c:v>0.2271027151358441</c:v>
                </c:pt>
                <c:pt idx="979">
                  <c:v>0.22714403065462732</c:v>
                </c:pt>
                <c:pt idx="980">
                  <c:v>0.22718526547626752</c:v>
                </c:pt>
                <c:pt idx="981">
                  <c:v>0.22722641978236768</c:v>
                </c:pt>
                <c:pt idx="982">
                  <c:v>0.22726749375402505</c:v>
                </c:pt>
                <c:pt idx="983">
                  <c:v>0.22730848757183289</c:v>
                </c:pt>
                <c:pt idx="984">
                  <c:v>0.22734940141588228</c:v>
                </c:pt>
                <c:pt idx="985">
                  <c:v>0.22739023546576392</c:v>
                </c:pt>
                <c:pt idx="986">
                  <c:v>0.22743098990056995</c:v>
                </c:pt>
                <c:pt idx="987">
                  <c:v>0.2274716648988957</c:v>
                </c:pt>
                <c:pt idx="988">
                  <c:v>0.22751226063884145</c:v>
                </c:pt>
                <c:pt idx="989">
                  <c:v>0.22755277729801426</c:v>
                </c:pt>
                <c:pt idx="990">
                  <c:v>0.22759321505352964</c:v>
                </c:pt>
                <c:pt idx="991">
                  <c:v>0.22763357408201337</c:v>
                </c:pt>
                <c:pt idx="992">
                  <c:v>0.22767385455960321</c:v>
                </c:pt>
                <c:pt idx="993">
                  <c:v>0.2277140566619506</c:v>
                </c:pt>
                <c:pt idx="994">
                  <c:v>0.22775418056422245</c:v>
                </c:pt>
                <c:pt idx="995">
                  <c:v>0.22779422644110284</c:v>
                </c:pt>
                <c:pt idx="996">
                  <c:v>0.2278341944667947</c:v>
                </c:pt>
                <c:pt idx="997">
                  <c:v>0.22787408481502153</c:v>
                </c:pt>
                <c:pt idx="998">
                  <c:v>0.22791389765902911</c:v>
                </c:pt>
                <c:pt idx="999">
                  <c:v>0.22795363317158715</c:v>
                </c:pt>
                <c:pt idx="1000">
                  <c:v>0.22799329152499101</c:v>
                </c:pt>
                <c:pt idx="1001">
                  <c:v>0.22803287289106336</c:v>
                </c:pt>
                <c:pt idx="1002">
                  <c:v>0.2280723774411558</c:v>
                </c:pt>
                <c:pt idx="1003">
                  <c:v>0.22811180534615058</c:v>
                </c:pt>
                <c:pt idx="1004">
                  <c:v>0.22815115677646222</c:v>
                </c:pt>
                <c:pt idx="1005">
                  <c:v>0.22819043190203916</c:v>
                </c:pt>
                <c:pt idx="1006">
                  <c:v>0.22822963089236539</c:v>
                </c:pt>
                <c:pt idx="1007">
                  <c:v>0.22826875391646209</c:v>
                </c:pt>
                <c:pt idx="1008">
                  <c:v>0.22830780114288921</c:v>
                </c:pt>
                <c:pt idx="1009">
                  <c:v>0.22834677273974713</c:v>
                </c:pt>
                <c:pt idx="1010">
                  <c:v>0.22838566887467823</c:v>
                </c:pt>
                <c:pt idx="1011">
                  <c:v>0.22842448971486856</c:v>
                </c:pt>
                <c:pt idx="1012">
                  <c:v>0.22846323542704933</c:v>
                </c:pt>
                <c:pt idx="1013">
                  <c:v>0.22850190617749852</c:v>
                </c:pt>
                <c:pt idx="1014">
                  <c:v>0.22854050213204255</c:v>
                </c:pt>
                <c:pt idx="1015">
                  <c:v>0.22857902345605774</c:v>
                </c:pt>
                <c:pt idx="1016">
                  <c:v>0.22861747031447191</c:v>
                </c:pt>
                <c:pt idx="1017">
                  <c:v>0.22865584287176596</c:v>
                </c:pt>
                <c:pt idx="1018">
                  <c:v>0.22869414129197541</c:v>
                </c:pt>
                <c:pt idx="1019">
                  <c:v>0.22873236573869191</c:v>
                </c:pt>
                <c:pt idx="1020">
                  <c:v>0.22877051637506479</c:v>
                </c:pt>
                <c:pt idx="1021">
                  <c:v>0.22880859336380269</c:v>
                </c:pt>
                <c:pt idx="1022">
                  <c:v>0.22884659686717487</c:v>
                </c:pt>
                <c:pt idx="1023">
                  <c:v>0.22888452704701298</c:v>
                </c:pt>
                <c:pt idx="1024">
                  <c:v>0.22892238406471233</c:v>
                </c:pt>
                <c:pt idx="1025">
                  <c:v>0.22896016808123357</c:v>
                </c:pt>
                <c:pt idx="1026">
                  <c:v>0.2289978792571041</c:v>
                </c:pt>
                <c:pt idx="1027">
                  <c:v>0.22903551775241959</c:v>
                </c:pt>
                <c:pt idx="1028">
                  <c:v>0.22907308372684543</c:v>
                </c:pt>
                <c:pt idx="1029">
                  <c:v>0.22911057733961826</c:v>
                </c:pt>
                <c:pt idx="1030">
                  <c:v>0.22914799874954742</c:v>
                </c:pt>
                <c:pt idx="1031">
                  <c:v>0.22918534811501637</c:v>
                </c:pt>
                <c:pt idx="1032">
                  <c:v>0.22922262559398424</c:v>
                </c:pt>
                <c:pt idx="1033">
                  <c:v>0.22925983134398714</c:v>
                </c:pt>
                <c:pt idx="1034">
                  <c:v>0.2292969655221398</c:v>
                </c:pt>
                <c:pt idx="1035">
                  <c:v>0.2293340282851368</c:v>
                </c:pt>
                <c:pt idx="1036">
                  <c:v>0.22937101978925417</c:v>
                </c:pt>
                <c:pt idx="1037">
                  <c:v>0.22940794019035074</c:v>
                </c:pt>
                <c:pt idx="1038">
                  <c:v>0.22944478964386952</c:v>
                </c:pt>
                <c:pt idx="1039">
                  <c:v>0.22948156830483923</c:v>
                </c:pt>
                <c:pt idx="1040">
                  <c:v>0.22951827632787564</c:v>
                </c:pt>
                <c:pt idx="1041">
                  <c:v>0.22955491386718291</c:v>
                </c:pt>
                <c:pt idx="1042">
                  <c:v>0.22959148107655511</c:v>
                </c:pt>
                <c:pt idx="1043">
                  <c:v>0.22962797810937755</c:v>
                </c:pt>
                <c:pt idx="1044">
                  <c:v>0.22966440511862812</c:v>
                </c:pt>
                <c:pt idx="1045">
                  <c:v>0.22970076225687877</c:v>
                </c:pt>
                <c:pt idx="1046">
                  <c:v>0.22973704967629682</c:v>
                </c:pt>
                <c:pt idx="1047">
                  <c:v>0.2297732675286463</c:v>
                </c:pt>
                <c:pt idx="1048">
                  <c:v>0.22980941596528934</c:v>
                </c:pt>
                <c:pt idx="1049">
                  <c:v>0.22984549513718758</c:v>
                </c:pt>
                <c:pt idx="1050">
                  <c:v>0.22988150519490341</c:v>
                </c:pt>
                <c:pt idx="1051">
                  <c:v>0.22991744628860142</c:v>
                </c:pt>
                <c:pt idx="1052">
                  <c:v>0.22995331856804965</c:v>
                </c:pt>
                <c:pt idx="1053">
                  <c:v>0.22998912218262099</c:v>
                </c:pt>
                <c:pt idx="1054">
                  <c:v>0.23002485728129443</c:v>
                </c:pt>
                <c:pt idx="1055">
                  <c:v>0.2300605240126565</c:v>
                </c:pt>
                <c:pt idx="1056">
                  <c:v>0.23009612252490244</c:v>
                </c:pt>
                <c:pt idx="1057">
                  <c:v>0.23013165296583765</c:v>
                </c:pt>
                <c:pt idx="1058">
                  <c:v>0.23016711548287885</c:v>
                </c:pt>
                <c:pt idx="1059">
                  <c:v>0.23020251022305552</c:v>
                </c:pt>
                <c:pt idx="1060">
                  <c:v>0.23023783733301106</c:v>
                </c:pt>
                <c:pt idx="1061">
                  <c:v>0.23027309695900422</c:v>
                </c:pt>
                <c:pt idx="1062">
                  <c:v>0.23030828924691027</c:v>
                </c:pt>
                <c:pt idx="1063">
                  <c:v>0.23034341434222227</c:v>
                </c:pt>
                <c:pt idx="1064">
                  <c:v>0.23037847239005246</c:v>
                </c:pt>
                <c:pt idx="1065">
                  <c:v>0.23041346353513339</c:v>
                </c:pt>
                <c:pt idx="1066">
                  <c:v>0.23044838792181929</c:v>
                </c:pt>
                <c:pt idx="1067">
                  <c:v>0.23048324569408724</c:v>
                </c:pt>
                <c:pt idx="1068">
                  <c:v>0.23051803699553844</c:v>
                </c:pt>
                <c:pt idx="1069">
                  <c:v>0.23055276196939953</c:v>
                </c:pt>
                <c:pt idx="1070">
                  <c:v>0.2305874207585237</c:v>
                </c:pt>
                <c:pt idx="1071">
                  <c:v>0.23062201350539205</c:v>
                </c:pt>
                <c:pt idx="1072">
                  <c:v>0.23065654035211469</c:v>
                </c:pt>
                <c:pt idx="1073">
                  <c:v>0.23069100144043214</c:v>
                </c:pt>
                <c:pt idx="1074">
                  <c:v>0.23072539691171637</c:v>
                </c:pt>
                <c:pt idx="1075">
                  <c:v>0.23075972690697211</c:v>
                </c:pt>
                <c:pt idx="1076">
                  <c:v>0.23079399156683802</c:v>
                </c:pt>
                <c:pt idx="1077">
                  <c:v>0.23082819103158794</c:v>
                </c:pt>
                <c:pt idx="1078">
                  <c:v>0.23086232544113205</c:v>
                </c:pt>
                <c:pt idx="1079">
                  <c:v>0.2308963949350181</c:v>
                </c:pt>
                <c:pt idx="1080">
                  <c:v>0.23093039965243251</c:v>
                </c:pt>
                <c:pt idx="1081">
                  <c:v>0.23096433973220165</c:v>
                </c:pt>
                <c:pt idx="1082">
                  <c:v>0.23099821531279302</c:v>
                </c:pt>
                <c:pt idx="1083">
                  <c:v>0.23103202653231636</c:v>
                </c:pt>
                <c:pt idx="1084">
                  <c:v>0.23106577352852481</c:v>
                </c:pt>
                <c:pt idx="1085">
                  <c:v>0.23109945643881619</c:v>
                </c:pt>
                <c:pt idx="1086">
                  <c:v>0.23113307540023403</c:v>
                </c:pt>
                <c:pt idx="1087">
                  <c:v>0.23116663054946879</c:v>
                </c:pt>
                <c:pt idx="1088">
                  <c:v>0.231200122022859</c:v>
                </c:pt>
                <c:pt idx="1089">
                  <c:v>0.23123354995639242</c:v>
                </c:pt>
                <c:pt idx="1090">
                  <c:v>0.23126691448570713</c:v>
                </c:pt>
                <c:pt idx="1091">
                  <c:v>0.23130021574609275</c:v>
                </c:pt>
                <c:pt idx="1092">
                  <c:v>0.23133345387249146</c:v>
                </c:pt>
                <c:pt idx="1093">
                  <c:v>0.23136662899949922</c:v>
                </c:pt>
                <c:pt idx="1094">
                  <c:v>0.23139974126136686</c:v>
                </c:pt>
                <c:pt idx="1095">
                  <c:v>0.23143279079200121</c:v>
                </c:pt>
                <c:pt idx="1096">
                  <c:v>0.23146577772496618</c:v>
                </c:pt>
                <c:pt idx="1097">
                  <c:v>0.2314987021934839</c:v>
                </c:pt>
                <c:pt idx="1098">
                  <c:v>0.23153156433043579</c:v>
                </c:pt>
                <c:pt idx="1099">
                  <c:v>0.23156436426836369</c:v>
                </c:pt>
                <c:pt idx="1100">
                  <c:v>0.23159710213947096</c:v>
                </c:pt>
                <c:pt idx="1101">
                  <c:v>0.23162977807562354</c:v>
                </c:pt>
                <c:pt idx="1102">
                  <c:v>0.23166239220835108</c:v>
                </c:pt>
                <c:pt idx="1103">
                  <c:v>0.23169494466884799</c:v>
                </c:pt>
                <c:pt idx="1104">
                  <c:v>0.23172743558797448</c:v>
                </c:pt>
                <c:pt idx="1105">
                  <c:v>0.23175986509625771</c:v>
                </c:pt>
                <c:pt idx="1106">
                  <c:v>0.23179223332389282</c:v>
                </c:pt>
                <c:pt idx="1107">
                  <c:v>0.23182454040074396</c:v>
                </c:pt>
                <c:pt idx="1108">
                  <c:v>0.23185678645634544</c:v>
                </c:pt>
                <c:pt idx="1109">
                  <c:v>0.23188897161990271</c:v>
                </c:pt>
                <c:pt idx="1110">
                  <c:v>0.23192109602029345</c:v>
                </c:pt>
                <c:pt idx="1111">
                  <c:v>0.23195315978606856</c:v>
                </c:pt>
                <c:pt idx="1112">
                  <c:v>0.23198516304545325</c:v>
                </c:pt>
                <c:pt idx="1113">
                  <c:v>0.23201710592634808</c:v>
                </c:pt>
                <c:pt idx="1114">
                  <c:v>0.23204898855633002</c:v>
                </c:pt>
                <c:pt idx="1115">
                  <c:v>0.23208081106265341</c:v>
                </c:pt>
                <c:pt idx="1116">
                  <c:v>0.23211257357225099</c:v>
                </c:pt>
                <c:pt idx="1117">
                  <c:v>0.23214427621173503</c:v>
                </c:pt>
                <c:pt idx="1118">
                  <c:v>0.23217591910739821</c:v>
                </c:pt>
                <c:pt idx="1119">
                  <c:v>0.23220750238521473</c:v>
                </c:pt>
                <c:pt idx="1120">
                  <c:v>0.23223902617084127</c:v>
                </c:pt>
                <c:pt idx="1121">
                  <c:v>0.23227049058961802</c:v>
                </c:pt>
                <c:pt idx="1122">
                  <c:v>0.23230189576656965</c:v>
                </c:pt>
                <c:pt idx="1123">
                  <c:v>0.23233324182640636</c:v>
                </c:pt>
                <c:pt idx="1124">
                  <c:v>0.23236452889352482</c:v>
                </c:pt>
                <c:pt idx="1125">
                  <c:v>0.23239575709200921</c:v>
                </c:pt>
                <c:pt idx="1126">
                  <c:v>0.23242692654563216</c:v>
                </c:pt>
                <c:pt idx="1127">
                  <c:v>0.23245803737785575</c:v>
                </c:pt>
                <c:pt idx="1128">
                  <c:v>0.23248908971183249</c:v>
                </c:pt>
                <c:pt idx="1129">
                  <c:v>0.2325200836704063</c:v>
                </c:pt>
                <c:pt idx="1130">
                  <c:v>0.2325510193761135</c:v>
                </c:pt>
                <c:pt idx="1131">
                  <c:v>0.2325818969511837</c:v>
                </c:pt>
                <c:pt idx="1132">
                  <c:v>0.23261271651754081</c:v>
                </c:pt>
                <c:pt idx="1133">
                  <c:v>0.23264347819680406</c:v>
                </c:pt>
                <c:pt idx="1134">
                  <c:v>0.23267418211028887</c:v>
                </c:pt>
                <c:pt idx="1135">
                  <c:v>0.2327048283790078</c:v>
                </c:pt>
                <c:pt idx="1136">
                  <c:v>0.23273541712367155</c:v>
                </c:pt>
                <c:pt idx="1137">
                  <c:v>0.23276594846468987</c:v>
                </c:pt>
                <c:pt idx="1138">
                  <c:v>0.23279642252217253</c:v>
                </c:pt>
                <c:pt idx="1139">
                  <c:v>0.23282683941593021</c:v>
                </c:pt>
                <c:pt idx="1140">
                  <c:v>0.23285719926547549</c:v>
                </c:pt>
                <c:pt idx="1141">
                  <c:v>0.23288750219002372</c:v>
                </c:pt>
                <c:pt idx="1142">
                  <c:v>0.23291774830849396</c:v>
                </c:pt>
                <c:pt idx="1143">
                  <c:v>0.23294793773950992</c:v>
                </c:pt>
                <c:pt idx="1144">
                  <c:v>0.23297807060140091</c:v>
                </c:pt>
                <c:pt idx="1145">
                  <c:v>0.23300814701220268</c:v>
                </c:pt>
                <c:pt idx="1146">
                  <c:v>0.23303816708965838</c:v>
                </c:pt>
                <c:pt idx="1147">
                  <c:v>0.23306813095121945</c:v>
                </c:pt>
                <c:pt idx="1148">
                  <c:v>0.23309803871404652</c:v>
                </c:pt>
                <c:pt idx="1149">
                  <c:v>0.23312789049501034</c:v>
                </c:pt>
                <c:pt idx="1150">
                  <c:v>0.23315768641069265</c:v>
                </c:pt>
                <c:pt idx="1151">
                  <c:v>0.23318742657738706</c:v>
                </c:pt>
                <c:pt idx="1152">
                  <c:v>0.23321711111109997</c:v>
                </c:pt>
                <c:pt idx="1153">
                  <c:v>0.23324674012755145</c:v>
                </c:pt>
                <c:pt idx="1154">
                  <c:v>0.23327631374217611</c:v>
                </c:pt>
                <c:pt idx="1155">
                  <c:v>0.23330583207012401</c:v>
                </c:pt>
                <c:pt idx="1156">
                  <c:v>0.23333529522626148</c:v>
                </c:pt>
                <c:pt idx="1157">
                  <c:v>0.23336470332517206</c:v>
                </c:pt>
                <c:pt idx="1158">
                  <c:v>0.2333940564811573</c:v>
                </c:pt>
                <c:pt idx="1159">
                  <c:v>0.23342335480823767</c:v>
                </c:pt>
                <c:pt idx="1160">
                  <c:v>0.23345259842015345</c:v>
                </c:pt>
                <c:pt idx="1161">
                  <c:v>0.23348178743036552</c:v>
                </c:pt>
                <c:pt idx="1162">
                  <c:v>0.23351092195205625</c:v>
                </c:pt>
                <c:pt idx="1163">
                  <c:v>0.23354000209813036</c:v>
                </c:pt>
                <c:pt idx="1164">
                  <c:v>0.23356902798121576</c:v>
                </c:pt>
                <c:pt idx="1165">
                  <c:v>0.23359799971366441</c:v>
                </c:pt>
                <c:pt idx="1166">
                  <c:v>0.23362691740755312</c:v>
                </c:pt>
                <c:pt idx="1167">
                  <c:v>0.23365578117468444</c:v>
                </c:pt>
                <c:pt idx="1168">
                  <c:v>0.23368459112658746</c:v>
                </c:pt>
                <c:pt idx="1169">
                  <c:v>0.23371334737451868</c:v>
                </c:pt>
                <c:pt idx="1170">
                  <c:v>0.23374205002946283</c:v>
                </c:pt>
                <c:pt idx="1171">
                  <c:v>0.23377069920213364</c:v>
                </c:pt>
                <c:pt idx="1172">
                  <c:v>0.23379929500297478</c:v>
                </c:pt>
                <c:pt idx="1173">
                  <c:v>0.23382783754216052</c:v>
                </c:pt>
                <c:pt idx="1174">
                  <c:v>0.23385632692959674</c:v>
                </c:pt>
                <c:pt idx="1175">
                  <c:v>0.23388476327492155</c:v>
                </c:pt>
                <c:pt idx="1176">
                  <c:v>0.23391314668750623</c:v>
                </c:pt>
                <c:pt idx="1177">
                  <c:v>0.23394147727645603</c:v>
                </c:pt>
                <c:pt idx="1178">
                  <c:v>0.23396975515061091</c:v>
                </c:pt>
                <c:pt idx="1179">
                  <c:v>0.23399798041854639</c:v>
                </c:pt>
                <c:pt idx="1180">
                  <c:v>0.23402615318857431</c:v>
                </c:pt>
                <c:pt idx="1181">
                  <c:v>0.2340542735687437</c:v>
                </c:pt>
                <c:pt idx="1182">
                  <c:v>0.2340823416668415</c:v>
                </c:pt>
                <c:pt idx="1183">
                  <c:v>0.23411035759039339</c:v>
                </c:pt>
                <c:pt idx="1184">
                  <c:v>0.23413832144666455</c:v>
                </c:pt>
                <c:pt idx="1185">
                  <c:v>0.23416623334266046</c:v>
                </c:pt>
                <c:pt idx="1186">
                  <c:v>0.23419409338512764</c:v>
                </c:pt>
                <c:pt idx="1187">
                  <c:v>0.23422190168055454</c:v>
                </c:pt>
                <c:pt idx="1188">
                  <c:v>0.2342496583351722</c:v>
                </c:pt>
                <c:pt idx="1189">
                  <c:v>0.23427736345495506</c:v>
                </c:pt>
                <c:pt idx="1190">
                  <c:v>0.23430501714562174</c:v>
                </c:pt>
                <c:pt idx="1191">
                  <c:v>0.23433261951263579</c:v>
                </c:pt>
                <c:pt idx="1192">
                  <c:v>0.23436017066120646</c:v>
                </c:pt>
                <c:pt idx="1193">
                  <c:v>0.23438767069628949</c:v>
                </c:pt>
                <c:pt idx="1194">
                  <c:v>0.2344151197225878</c:v>
                </c:pt>
                <c:pt idx="1195">
                  <c:v>0.23444251784455231</c:v>
                </c:pt>
                <c:pt idx="1196">
                  <c:v>0.23446986516638263</c:v>
                </c:pt>
                <c:pt idx="1197">
                  <c:v>0.2344971617920279</c:v>
                </c:pt>
                <c:pt idx="1198">
                  <c:v>0.23452440782518746</c:v>
                </c:pt>
                <c:pt idx="1199">
                  <c:v>0.23455160336931161</c:v>
                </c:pt>
                <c:pt idx="1200">
                  <c:v>0.23457874852760235</c:v>
                </c:pt>
                <c:pt idx="1201">
                  <c:v>0.23460584340301416</c:v>
                </c:pt>
                <c:pt idx="1202">
                  <c:v>0.23463288809825464</c:v>
                </c:pt>
                <c:pt idx="1203">
                  <c:v>0.23465988271578533</c:v>
                </c:pt>
                <c:pt idx="1204">
                  <c:v>0.23468682735782245</c:v>
                </c:pt>
                <c:pt idx="1205">
                  <c:v>0.23471372212633757</c:v>
                </c:pt>
                <c:pt idx="1206">
                  <c:v>0.2347405671230583</c:v>
                </c:pt>
                <c:pt idx="1207">
                  <c:v>0.23476736244946914</c:v>
                </c:pt>
                <c:pt idx="1208">
                  <c:v>0.2347941082068121</c:v>
                </c:pt>
                <c:pt idx="1209">
                  <c:v>0.23482080449608742</c:v>
                </c:pt>
                <c:pt idx="1210">
                  <c:v>0.23484745141805433</c:v>
                </c:pt>
                <c:pt idx="1211">
                  <c:v>0.2348740490732317</c:v>
                </c:pt>
                <c:pt idx="1212">
                  <c:v>0.23490059756189885</c:v>
                </c:pt>
                <c:pt idx="1213">
                  <c:v>0.23492709698409614</c:v>
                </c:pt>
                <c:pt idx="1214">
                  <c:v>0.23495354743962574</c:v>
                </c:pt>
                <c:pt idx="1215">
                  <c:v>0.23497994902805228</c:v>
                </c:pt>
                <c:pt idx="1216">
                  <c:v>0.23500630184870366</c:v>
                </c:pt>
                <c:pt idx="1217">
                  <c:v>0.23503260600067161</c:v>
                </c:pt>
                <c:pt idx="1218">
                  <c:v>0.23505886158281245</c:v>
                </c:pt>
                <c:pt idx="1219">
                  <c:v>0.23508506869374776</c:v>
                </c:pt>
                <c:pt idx="1220">
                  <c:v>0.23511122743186511</c:v>
                </c:pt>
                <c:pt idx="1221">
                  <c:v>0.23513733789531868</c:v>
                </c:pt>
                <c:pt idx="1222">
                  <c:v>0.23516340018203002</c:v>
                </c:pt>
                <c:pt idx="1223">
                  <c:v>0.23518941438968868</c:v>
                </c:pt>
                <c:pt idx="1224">
                  <c:v>0.23521538061575287</c:v>
                </c:pt>
                <c:pt idx="1225">
                  <c:v>0.23524129895745016</c:v>
                </c:pt>
                <c:pt idx="1226">
                  <c:v>0.23526716951177817</c:v>
                </c:pt>
                <c:pt idx="1227">
                  <c:v>0.23529299237550524</c:v>
                </c:pt>
                <c:pt idx="1228">
                  <c:v>0.23531876764517107</c:v>
                </c:pt>
                <c:pt idx="1229">
                  <c:v>0.23534449541708738</c:v>
                </c:pt>
                <c:pt idx="1230">
                  <c:v>0.2353701757873386</c:v>
                </c:pt>
                <c:pt idx="1231">
                  <c:v>0.23539580885178252</c:v>
                </c:pt>
                <c:pt idx="1232">
                  <c:v>0.23542139470605097</c:v>
                </c:pt>
                <c:pt idx="1233">
                  <c:v>0.23544693344555045</c:v>
                </c:pt>
                <c:pt idx="1234">
                  <c:v>0.23547242516546277</c:v>
                </c:pt>
                <c:pt idx="1235">
                  <c:v>0.23549786996074573</c:v>
                </c:pt>
                <c:pt idx="1236">
                  <c:v>0.23552326792613379</c:v>
                </c:pt>
                <c:pt idx="1237">
                  <c:v>0.23554861915613864</c:v>
                </c:pt>
                <c:pt idx="1238">
                  <c:v>0.23557392374504993</c:v>
                </c:pt>
                <c:pt idx="1239">
                  <c:v>0.23559918178693584</c:v>
                </c:pt>
                <c:pt idx="1240">
                  <c:v>0.23562439337564375</c:v>
                </c:pt>
                <c:pt idx="1241">
                  <c:v>0.23564955860480094</c:v>
                </c:pt>
                <c:pt idx="1242">
                  <c:v>0.23567467756781507</c:v>
                </c:pt>
                <c:pt idx="1243">
                  <c:v>0.23569975035787499</c:v>
                </c:pt>
                <c:pt idx="1244">
                  <c:v>0.23572477706795125</c:v>
                </c:pt>
                <c:pt idx="1245">
                  <c:v>0.23574975779079674</c:v>
                </c:pt>
                <c:pt idx="1246">
                  <c:v>0.23577469261894737</c:v>
                </c:pt>
                <c:pt idx="1247">
                  <c:v>0.2357995816447227</c:v>
                </c:pt>
                <c:pt idx="1248">
                  <c:v>0.23582442496022646</c:v>
                </c:pt>
                <c:pt idx="1249">
                  <c:v>0.23584922265734726</c:v>
                </c:pt>
                <c:pt idx="1250">
                  <c:v>0.23587397482775915</c:v>
                </c:pt>
                <c:pt idx="1251">
                  <c:v>0.23589868156292235</c:v>
                </c:pt>
                <c:pt idx="1252">
                  <c:v>0.23592334295408371</c:v>
                </c:pt>
                <c:pt idx="1253">
                  <c:v>0.23594795909227739</c:v>
                </c:pt>
                <c:pt idx="1254">
                  <c:v>0.2359725300683255</c:v>
                </c:pt>
                <c:pt idx="1255">
                  <c:v>0.23599705597283863</c:v>
                </c:pt>
                <c:pt idx="1256">
                  <c:v>0.23602153689621655</c:v>
                </c:pt>
                <c:pt idx="1257">
                  <c:v>0.23604597292864871</c:v>
                </c:pt>
                <c:pt idx="1258">
                  <c:v>0.2360703641601149</c:v>
                </c:pt>
                <c:pt idx="1259">
                  <c:v>0.23609471068038584</c:v>
                </c:pt>
                <c:pt idx="1260">
                  <c:v>0.23611901257902379</c:v>
                </c:pt>
                <c:pt idx="1261">
                  <c:v>0.23614326994538309</c:v>
                </c:pt>
                <c:pt idx="1262">
                  <c:v>0.23616748286861078</c:v>
                </c:pt>
                <c:pt idx="1263">
                  <c:v>0.23619165143764723</c:v>
                </c:pt>
                <c:pt idx="1264">
                  <c:v>0.23621577574122665</c:v>
                </c:pt>
                <c:pt idx="1265">
                  <c:v>0.23623985586787774</c:v>
                </c:pt>
                <c:pt idx="1266">
                  <c:v>0.23626389190592423</c:v>
                </c:pt>
                <c:pt idx="1267">
                  <c:v>0.23628788394348549</c:v>
                </c:pt>
                <c:pt idx="1268">
                  <c:v>0.23631183206847708</c:v>
                </c:pt>
                <c:pt idx="1269">
                  <c:v>0.23633573636861135</c:v>
                </c:pt>
                <c:pt idx="1270">
                  <c:v>0.23635959693139805</c:v>
                </c:pt>
                <c:pt idx="1271">
                  <c:v>0.23638341384414477</c:v>
                </c:pt>
                <c:pt idx="1272">
                  <c:v>0.23640718719395767</c:v>
                </c:pt>
                <c:pt idx="1273">
                  <c:v>0.23643091706774194</c:v>
                </c:pt>
                <c:pt idx="1274">
                  <c:v>0.23645460355220244</c:v>
                </c:pt>
                <c:pt idx="1275">
                  <c:v>0.23647824673384418</c:v>
                </c:pt>
                <c:pt idx="1276">
                  <c:v>0.23650184669897298</c:v>
                </c:pt>
                <c:pt idx="1277">
                  <c:v>0.23652540353369594</c:v>
                </c:pt>
                <c:pt idx="1278">
                  <c:v>0.23654891732392208</c:v>
                </c:pt>
                <c:pt idx="1279">
                  <c:v>0.23657238815536283</c:v>
                </c:pt>
                <c:pt idx="1280">
                  <c:v>0.23659581611353261</c:v>
                </c:pt>
                <c:pt idx="1281">
                  <c:v>0.23661920128374941</c:v>
                </c:pt>
                <c:pt idx="1282">
                  <c:v>0.23664254375113528</c:v>
                </c:pt>
                <c:pt idx="1283">
                  <c:v>0.2366658436006169</c:v>
                </c:pt>
                <c:pt idx="1284">
                  <c:v>0.23668910091692622</c:v>
                </c:pt>
                <c:pt idx="1285">
                  <c:v>0.23671231578460081</c:v>
                </c:pt>
                <c:pt idx="1286">
                  <c:v>0.23673548828798463</c:v>
                </c:pt>
                <c:pt idx="1287">
                  <c:v>0.2367586185112284</c:v>
                </c:pt>
                <c:pt idx="1288">
                  <c:v>0.23678170653829017</c:v>
                </c:pt>
                <c:pt idx="1289">
                  <c:v>0.23680475245293595</c:v>
                </c:pt>
                <c:pt idx="1290">
                  <c:v>0.23682775633874015</c:v>
                </c:pt>
                <c:pt idx="1291">
                  <c:v>0.23685071827908616</c:v>
                </c:pt>
                <c:pt idx="1292">
                  <c:v>0.23687363835716685</c:v>
                </c:pt>
                <c:pt idx="1293">
                  <c:v>0.2368965166559851</c:v>
                </c:pt>
                <c:pt idx="1294">
                  <c:v>0.23691935325835439</c:v>
                </c:pt>
                <c:pt idx="1295">
                  <c:v>0.23694214824689924</c:v>
                </c:pt>
                <c:pt idx="1296">
                  <c:v>0.23696490170405582</c:v>
                </c:pt>
                <c:pt idx="1297">
                  <c:v>0.23698761371207236</c:v>
                </c:pt>
                <c:pt idx="1298">
                  <c:v>0.2370102843530098</c:v>
                </c:pt>
                <c:pt idx="1299">
                  <c:v>0.23703291370874224</c:v>
                </c:pt>
                <c:pt idx="1300">
                  <c:v>0.23705550186095745</c:v>
                </c:pt>
                <c:pt idx="1301">
                  <c:v>0.23707804889115741</c:v>
                </c:pt>
                <c:pt idx="1302">
                  <c:v>0.23710055488065879</c:v>
                </c:pt>
                <c:pt idx="1303">
                  <c:v>0.23712301991059351</c:v>
                </c:pt>
                <c:pt idx="1304">
                  <c:v>0.23714544406190924</c:v>
                </c:pt>
                <c:pt idx="1305">
                  <c:v>0.23716782741536988</c:v>
                </c:pt>
                <c:pt idx="1306">
                  <c:v>0.23719017005155604</c:v>
                </c:pt>
                <c:pt idx="1307">
                  <c:v>0.23721247205086568</c:v>
                </c:pt>
                <c:pt idx="1308">
                  <c:v>0.23723473349351443</c:v>
                </c:pt>
                <c:pt idx="1309">
                  <c:v>0.23725695445953623</c:v>
                </c:pt>
                <c:pt idx="1310">
                  <c:v>0.23727913502878378</c:v>
                </c:pt>
                <c:pt idx="1311">
                  <c:v>0.23730127528092904</c:v>
                </c:pt>
                <c:pt idx="1312">
                  <c:v>0.23732337529546368</c:v>
                </c:pt>
                <c:pt idx="1313">
                  <c:v>0.2373454351516997</c:v>
                </c:pt>
                <c:pt idx="1314">
                  <c:v>0.23736745492876979</c:v>
                </c:pt>
                <c:pt idx="1315">
                  <c:v>0.2373894347056279</c:v>
                </c:pt>
                <c:pt idx="1316">
                  <c:v>0.23741137456104966</c:v>
                </c:pt>
                <c:pt idx="1317">
                  <c:v>0.23743327457363297</c:v>
                </c:pt>
                <c:pt idx="1318">
                  <c:v>0.23745513482179842</c:v>
                </c:pt>
                <c:pt idx="1319">
                  <c:v>0.23747695538378974</c:v>
                </c:pt>
                <c:pt idx="1320">
                  <c:v>0.23749873633767435</c:v>
                </c:pt>
                <c:pt idx="1321">
                  <c:v>0.23752047776134386</c:v>
                </c:pt>
                <c:pt idx="1322">
                  <c:v>0.23754217973251443</c:v>
                </c:pt>
                <c:pt idx="1323">
                  <c:v>0.2375638423287274</c:v>
                </c:pt>
                <c:pt idx="1324">
                  <c:v>0.23758546562734967</c:v>
                </c:pt>
                <c:pt idx="1325">
                  <c:v>0.23760704970557414</c:v>
                </c:pt>
                <c:pt idx="1326">
                  <c:v>0.23762859464042033</c:v>
                </c:pt>
                <c:pt idx="1327">
                  <c:v>0.23765010050873472</c:v>
                </c:pt>
                <c:pt idx="1328">
                  <c:v>0.23767156738719125</c:v>
                </c:pt>
                <c:pt idx="1329">
                  <c:v>0.23769299535229185</c:v>
                </c:pt>
                <c:pt idx="1330">
                  <c:v>0.2377143844803668</c:v>
                </c:pt>
                <c:pt idx="1331">
                  <c:v>0.23773573484757529</c:v>
                </c:pt>
                <c:pt idx="1332">
                  <c:v>0.23775704652990581</c:v>
                </c:pt>
                <c:pt idx="1333">
                  <c:v>0.23777831960317672</c:v>
                </c:pt>
                <c:pt idx="1334">
                  <c:v>0.23779955414303655</c:v>
                </c:pt>
                <c:pt idx="1335">
                  <c:v>0.23782075022496463</c:v>
                </c:pt>
                <c:pt idx="1336">
                  <c:v>0.23784190792427143</c:v>
                </c:pt>
                <c:pt idx="1337">
                  <c:v>0.23786302731609907</c:v>
                </c:pt>
                <c:pt idx="1338">
                  <c:v>0.23788410847542171</c:v>
                </c:pt>
                <c:pt idx="1339">
                  <c:v>0.23790515147704611</c:v>
                </c:pt>
                <c:pt idx="1340">
                  <c:v>0.23792615639561199</c:v>
                </c:pt>
                <c:pt idx="1341">
                  <c:v>0.23794712330559253</c:v>
                </c:pt>
                <c:pt idx="1342">
                  <c:v>0.23796805228129481</c:v>
                </c:pt>
                <c:pt idx="1343">
                  <c:v>0.23798894339686022</c:v>
                </c:pt>
                <c:pt idx="1344">
                  <c:v>0.23800979672626493</c:v>
                </c:pt>
                <c:pt idx="1345">
                  <c:v>0.23803061234332037</c:v>
                </c:pt>
                <c:pt idx="1346">
                  <c:v>0.23805139032167361</c:v>
                </c:pt>
                <c:pt idx="1347">
                  <c:v>0.23807213073480785</c:v>
                </c:pt>
                <c:pt idx="1348">
                  <c:v>0.23809283365604283</c:v>
                </c:pt>
                <c:pt idx="1349">
                  <c:v>0.2381134991585353</c:v>
                </c:pt>
                <c:pt idx="1350">
                  <c:v>0.23813412731527939</c:v>
                </c:pt>
                <c:pt idx="1351">
                  <c:v>0.23815471819910713</c:v>
                </c:pt>
                <c:pt idx="1352">
                  <c:v>0.23817527188268886</c:v>
                </c:pt>
                <c:pt idx="1353">
                  <c:v>0.23819578843853362</c:v>
                </c:pt>
                <c:pt idx="1354">
                  <c:v>0.23821626793898959</c:v>
                </c:pt>
                <c:pt idx="1355">
                  <c:v>0.23823671045624456</c:v>
                </c:pt>
                <c:pt idx="1356">
                  <c:v>0.23825711606232633</c:v>
                </c:pt>
                <c:pt idx="1357">
                  <c:v>0.23827748482910316</c:v>
                </c:pt>
                <c:pt idx="1358">
                  <c:v>0.23829781682828416</c:v>
                </c:pt>
                <c:pt idx="1359">
                  <c:v>0.23831811213141973</c:v>
                </c:pt>
                <c:pt idx="1360">
                  <c:v>0.23833837080990203</c:v>
                </c:pt>
                <c:pt idx="1361">
                  <c:v>0.23835859293496528</c:v>
                </c:pt>
                <c:pt idx="1362">
                  <c:v>0.23837877857768627</c:v>
                </c:pt>
                <c:pt idx="1363">
                  <c:v>0.23839892780898483</c:v>
                </c:pt>
                <c:pt idx="1364">
                  <c:v>0.23841904069962411</c:v>
                </c:pt>
                <c:pt idx="1365">
                  <c:v>0.23843911732021109</c:v>
                </c:pt>
                <c:pt idx="1366">
                  <c:v>0.23845915774119697</c:v>
                </c:pt>
                <c:pt idx="1367">
                  <c:v>0.23847916203287758</c:v>
                </c:pt>
                <c:pt idx="1368">
                  <c:v>0.23849913026539382</c:v>
                </c:pt>
                <c:pt idx="1369">
                  <c:v>0.238519062508732</c:v>
                </c:pt>
                <c:pt idx="1370">
                  <c:v>0.23853895883272433</c:v>
                </c:pt>
                <c:pt idx="1371">
                  <c:v>0.23855881930704925</c:v>
                </c:pt>
                <c:pt idx="1372">
                  <c:v>0.23857864400123194</c:v>
                </c:pt>
                <c:pt idx="1373">
                  <c:v>0.23859843298464459</c:v>
                </c:pt>
                <c:pt idx="1374">
                  <c:v>0.23861818632650691</c:v>
                </c:pt>
                <c:pt idx="1375">
                  <c:v>0.23863790409588653</c:v>
                </c:pt>
                <c:pt idx="1376">
                  <c:v>0.23865758636169931</c:v>
                </c:pt>
                <c:pt idx="1377">
                  <c:v>0.23867723319270984</c:v>
                </c:pt>
                <c:pt idx="1378">
                  <c:v>0.23869684465753174</c:v>
                </c:pt>
                <c:pt idx="1379">
                  <c:v>0.23871642082462818</c:v>
                </c:pt>
                <c:pt idx="1380">
                  <c:v>0.23873596176231221</c:v>
                </c:pt>
                <c:pt idx="1381">
                  <c:v>0.23875546753874707</c:v>
                </c:pt>
                <c:pt idx="1382">
                  <c:v>0.23877493822194676</c:v>
                </c:pt>
                <c:pt idx="1383">
                  <c:v>0.23879437387977628</c:v>
                </c:pt>
                <c:pt idx="1384">
                  <c:v>0.23881377457995212</c:v>
                </c:pt>
                <c:pt idx="1385">
                  <c:v>0.23883314039004258</c:v>
                </c:pt>
                <c:pt idx="1386">
                  <c:v>0.23885247137746818</c:v>
                </c:pt>
                <c:pt idx="1387">
                  <c:v>0.23887176760950207</c:v>
                </c:pt>
                <c:pt idx="1388">
                  <c:v>0.23889102915327043</c:v>
                </c:pt>
                <c:pt idx="1389">
                  <c:v>0.23891025607575275</c:v>
                </c:pt>
                <c:pt idx="1390">
                  <c:v>0.23892944844378233</c:v>
                </c:pt>
                <c:pt idx="1391">
                  <c:v>0.2389486063240466</c:v>
                </c:pt>
                <c:pt idx="1392">
                  <c:v>0.23896772978308756</c:v>
                </c:pt>
                <c:pt idx="1393">
                  <c:v>0.23898681888730205</c:v>
                </c:pt>
                <c:pt idx="1394">
                  <c:v>0.23900587370294227</c:v>
                </c:pt>
                <c:pt idx="1395">
                  <c:v>0.23902489429611601</c:v>
                </c:pt>
                <c:pt idx="1396">
                  <c:v>0.23904388073278718</c:v>
                </c:pt>
                <c:pt idx="1397">
                  <c:v>0.23906283307877602</c:v>
                </c:pt>
                <c:pt idx="1398">
                  <c:v>0.23908175139975962</c:v>
                </c:pt>
                <c:pt idx="1399">
                  <c:v>0.23910063576127219</c:v>
                </c:pt>
                <c:pt idx="1400">
                  <c:v>0.23911948622870549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76-4A1D-BB00-BE1F1EF04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496664"/>
        <c:axId val="373495680"/>
      </c:scatterChart>
      <c:valAx>
        <c:axId val="268980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 (min)</a:t>
                </a:r>
              </a:p>
            </c:rich>
          </c:tx>
          <c:overlay val="0"/>
        </c:title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68980840"/>
        <c:crosses val="autoZero"/>
        <c:crossBetween val="midCat"/>
      </c:valAx>
      <c:valAx>
        <c:axId val="268980840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Piezometric Head (m)</a:t>
                </a:r>
              </a:p>
            </c:rich>
          </c:tx>
          <c:overlay val="0"/>
        </c:title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68980512"/>
        <c:crosses val="autoZero"/>
        <c:crossBetween val="midCat"/>
        <c:majorUnit val="2"/>
      </c:valAx>
      <c:valAx>
        <c:axId val="373495680"/>
        <c:scaling>
          <c:orientation val="minMax"/>
          <c:max val="0.25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Slurry</a:t>
                </a:r>
                <a:r>
                  <a:rPr lang="en-GB" baseline="0"/>
                  <a:t> Penetration Depth (m)</a:t>
                </a:r>
                <a:endParaRPr lang="en-GB"/>
              </a:p>
            </c:rich>
          </c:tx>
          <c:overlay val="0"/>
        </c:title>
        <c:numFmt formatCode="#,##0.00" sourceLinked="0"/>
        <c:majorTickMark val="cross"/>
        <c:minorTickMark val="none"/>
        <c:tickLblPos val="nextTo"/>
        <c:spPr>
          <a:ln>
            <a:solidFill>
              <a:srgbClr val="00B0F0"/>
            </a:solidFill>
            <a:prstDash val="lgDash"/>
          </a:ln>
        </c:spPr>
        <c:crossAx val="373496664"/>
        <c:crosses val="max"/>
        <c:crossBetween val="midCat"/>
      </c:valAx>
      <c:valAx>
        <c:axId val="373496664"/>
        <c:scaling>
          <c:orientation val="minMax"/>
          <c:min val="0"/>
        </c:scaling>
        <c:delete val="0"/>
        <c:axPos val="t"/>
        <c:numFmt formatCode="General" sourceLinked="1"/>
        <c:majorTickMark val="none"/>
        <c:minorTickMark val="none"/>
        <c:tickLblPos val="none"/>
        <c:spPr>
          <a:ln>
            <a:solidFill>
              <a:schemeClr val="tx1"/>
            </a:solidFill>
          </a:ln>
        </c:spPr>
        <c:crossAx val="373495680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600" b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209927</xdr:colOff>
      <xdr:row>14</xdr:row>
      <xdr:rowOff>164353</xdr:rowOff>
    </xdr:from>
    <xdr:to>
      <xdr:col>13</xdr:col>
      <xdr:colOff>234481</xdr:colOff>
      <xdr:row>36</xdr:row>
      <xdr:rowOff>167844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27</xdr:row>
          <xdr:rowOff>171450</xdr:rowOff>
        </xdr:from>
        <xdr:to>
          <xdr:col>1</xdr:col>
          <xdr:colOff>742950</xdr:colOff>
          <xdr:row>31</xdr:row>
          <xdr:rowOff>76200</xdr:rowOff>
        </xdr:to>
        <xdr:sp macro="" textlink="">
          <xdr:nvSpPr>
            <xdr:cNvPr id="9556" name="Button 340" hidden="1">
              <a:extLst>
                <a:ext uri="{63B3BB69-23CF-44E3-9099-C40C66FF867C}">
                  <a14:compatExt spid="_x0000_s9556"/>
                </a:ext>
                <a:ext uri="{FF2B5EF4-FFF2-40B4-BE49-F238E27FC236}">
                  <a16:creationId xmlns:a16="http://schemas.microsoft.com/office/drawing/2014/main" id="{00000000-0008-0000-0000-00005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the minimum face pressure for different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23</xdr:row>
          <xdr:rowOff>146050</xdr:rowOff>
        </xdr:from>
        <xdr:to>
          <xdr:col>1</xdr:col>
          <xdr:colOff>742950</xdr:colOff>
          <xdr:row>27</xdr:row>
          <xdr:rowOff>50800</xdr:rowOff>
        </xdr:to>
        <xdr:sp macro="" textlink="">
          <xdr:nvSpPr>
            <xdr:cNvPr id="9557" name="Button 341" hidden="1">
              <a:extLst>
                <a:ext uri="{63B3BB69-23CF-44E3-9099-C40C66FF867C}">
                  <a14:compatExt spid="_x0000_s9557"/>
                </a:ext>
                <a:ext uri="{FF2B5EF4-FFF2-40B4-BE49-F238E27FC236}">
                  <a16:creationId xmlns:a16="http://schemas.microsoft.com/office/drawing/2014/main" id="{00000000-0008-0000-0000-00005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New Minimum Face Pressure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1497"/>
  <sheetViews>
    <sheetView tabSelected="1" zoomScale="85" zoomScaleNormal="85" workbookViewId="0">
      <selection activeCell="B22" sqref="B22"/>
    </sheetView>
  </sheetViews>
  <sheetFormatPr defaultColWidth="9.1796875" defaultRowHeight="14.5" x14ac:dyDescent="0.35"/>
  <cols>
    <col min="1" max="1" width="22.453125" style="5" bestFit="1" customWidth="1"/>
    <col min="2" max="2" width="11.453125" style="2" bestFit="1" customWidth="1"/>
    <col min="3" max="3" width="4.453125" style="2" customWidth="1"/>
    <col min="4" max="4" width="6.7265625" style="2" customWidth="1"/>
    <col min="5" max="5" width="8.7265625" style="18" bestFit="1" customWidth="1"/>
    <col min="6" max="7" width="5.7265625" style="18" bestFit="1" customWidth="1"/>
    <col min="8" max="8" width="9.26953125" style="18" bestFit="1" customWidth="1"/>
    <col min="9" max="9" width="8.7265625" style="18" bestFit="1" customWidth="1"/>
    <col min="10" max="10" width="7.81640625" style="18" bestFit="1" customWidth="1"/>
    <col min="11" max="11" width="7.54296875" style="18" bestFit="1" customWidth="1"/>
    <col min="12" max="12" width="11.1796875" style="18" bestFit="1" customWidth="1"/>
    <col min="13" max="13" width="8" style="4" bestFit="1" customWidth="1"/>
    <col min="14" max="14" width="4.26953125" style="4" customWidth="1"/>
    <col min="15" max="15" width="5.1796875" style="18" bestFit="1" customWidth="1"/>
    <col min="16" max="16" width="5" style="18" bestFit="1" customWidth="1"/>
    <col min="17" max="17" width="8.1796875" style="18" bestFit="1" customWidth="1"/>
    <col min="18" max="19" width="7.26953125" style="18" bestFit="1" customWidth="1"/>
    <col min="20" max="20" width="6.7265625" style="18" bestFit="1" customWidth="1"/>
    <col min="21" max="21" width="9.1796875" style="18"/>
    <col min="22" max="16384" width="9.1796875" style="2"/>
  </cols>
  <sheetData>
    <row r="1" spans="1:21" ht="15.5" x14ac:dyDescent="0.35">
      <c r="A1" s="21" t="s">
        <v>19</v>
      </c>
      <c r="B1" s="22" t="s">
        <v>21</v>
      </c>
      <c r="D1" s="4" t="s">
        <v>14</v>
      </c>
      <c r="E1" s="9" t="s">
        <v>15</v>
      </c>
      <c r="F1" s="9" t="s">
        <v>33</v>
      </c>
      <c r="G1" s="4" t="s">
        <v>34</v>
      </c>
      <c r="H1" s="10" t="s">
        <v>35</v>
      </c>
      <c r="I1" s="11" t="s">
        <v>36</v>
      </c>
      <c r="J1" s="12" t="s">
        <v>16</v>
      </c>
      <c r="K1" s="13" t="s">
        <v>17</v>
      </c>
      <c r="L1" s="10" t="s">
        <v>37</v>
      </c>
      <c r="M1" s="14" t="s">
        <v>38</v>
      </c>
      <c r="O1" s="18" t="s">
        <v>25</v>
      </c>
      <c r="P1" s="18" t="s">
        <v>26</v>
      </c>
      <c r="Q1" s="18" t="s">
        <v>39</v>
      </c>
      <c r="R1" s="18" t="s">
        <v>28</v>
      </c>
      <c r="S1" s="18" t="s">
        <v>27</v>
      </c>
      <c r="T1" s="46" t="s">
        <v>29</v>
      </c>
      <c r="U1" s="18" t="s">
        <v>41</v>
      </c>
    </row>
    <row r="2" spans="1:21" x14ac:dyDescent="0.35">
      <c r="A2" s="23" t="s">
        <v>0</v>
      </c>
      <c r="B2" s="24">
        <v>10</v>
      </c>
      <c r="D2" s="4">
        <v>0</v>
      </c>
      <c r="E2" s="4">
        <f>$B$2*TAN(RADIANS($B$20))</f>
        <v>4.3812179501878017</v>
      </c>
      <c r="F2" s="1">
        <f>(B3*B5)</f>
        <v>360</v>
      </c>
      <c r="G2" s="1">
        <f>IF((B3-B4)*B6&gt;0,(B3-B4)*B6,0)</f>
        <v>200</v>
      </c>
      <c r="H2" s="15">
        <f>IF($B$1="NO",0,((((E2*(SQRT(($B$2/2)^2+E2^2)-E2)+((($B$2/2)^2)*LN(SQRT(($B$2/2)^2+E2^2)+E2)))/2)-(($B$2/2)*($B$2/2)*LN(($B$2/2))/2))*($B$23)/($B$2/2))/E2)</f>
        <v>67.808998127232385</v>
      </c>
      <c r="I2" s="16">
        <f t="shared" ref="I2:I14" si="0">IF(F2-G2-H2&lt;0,0,F2-G2-H2)</f>
        <v>92.191001872767615</v>
      </c>
      <c r="J2" s="7" t="s">
        <v>13</v>
      </c>
      <c r="K2" s="8" t="s">
        <v>13</v>
      </c>
      <c r="L2" s="1">
        <f>IF($B$1="NO",0,(SQRT(E2^2+($B$2/2)^2)-E2)*($B$23)/($B$2/2))</f>
        <v>45.334387571334382</v>
      </c>
      <c r="M2" s="17" t="s">
        <v>13</v>
      </c>
      <c r="O2" s="18">
        <v>5</v>
      </c>
      <c r="P2" s="18">
        <v>0</v>
      </c>
      <c r="Q2" s="3">
        <f>0.1*($B$22-$G$8)*(1-(S2/$B$12))/($B$9*((0.5*$B$2/$B$11)+(S2/$B$10)))</f>
        <v>4.9999999999999969E-4</v>
      </c>
      <c r="R2" s="3">
        <f t="shared" ref="R2:R65" si="1">Q2*O2</f>
        <v>2.4999999999999983E-3</v>
      </c>
      <c r="S2" s="18">
        <v>0</v>
      </c>
      <c r="T2" s="20">
        <f>Q2*$B$9*$B$2*0.5/$B$11</f>
        <v>9.9999999999999929</v>
      </c>
      <c r="U2" s="20">
        <v>336.78064570130073</v>
      </c>
    </row>
    <row r="3" spans="1:21" x14ac:dyDescent="0.35">
      <c r="A3" s="23" t="s">
        <v>9</v>
      </c>
      <c r="B3" s="24">
        <v>20</v>
      </c>
      <c r="D3" s="4">
        <f>D2+($B$2*1/12)</f>
        <v>0.83333333333333337</v>
      </c>
      <c r="E3" s="4">
        <f t="shared" ref="E3:E14" si="2">E2-(D3-D2)*TAN(RADIANS($B$20))</f>
        <v>4.0161164543388184</v>
      </c>
      <c r="F3" s="1">
        <f t="shared" ref="F3:F14" si="3">F2+($B$5*(D3-D2))</f>
        <v>375</v>
      </c>
      <c r="G3" s="1">
        <f t="shared" ref="G3:G14" si="4">G2+($B$6*(D3-D2))</f>
        <v>208.33333333333334</v>
      </c>
      <c r="H3" s="15">
        <f t="shared" ref="H3:H13" si="5">IF($B$1="NO",0,((((E3*(SQRT(($B$2/2)^2+E3^2)-E3)+((($B$2/2)^2)*LN(SQRT(($B$2/2)^2+E3^2)+E3)))/2)-(($B$2/2)*($B$2/2)*LN(($B$2/2))/2))*($B$23)/($B$2/2))/E3)</f>
        <v>69.735442197326677</v>
      </c>
      <c r="I3" s="16">
        <f t="shared" si="0"/>
        <v>96.93122446933998</v>
      </c>
      <c r="J3" s="7">
        <f t="shared" ref="J3:J14" si="6">$B$2*AVERAGE(E2:E3)*(I3-I2)</f>
        <v>199.02617147655818</v>
      </c>
      <c r="K3" s="8">
        <f t="shared" ref="K3:K14" si="7">(D3-D2)*AVERAGE(E2:E3)*AVERAGE(I2:I3)*$B$8*TAN(RADIANS($B$7))</f>
        <v>95.510728944803262</v>
      </c>
      <c r="L3" s="1">
        <f t="shared" ref="L3:L14" si="8">IF($B$1="NO",0,(SQRT(E3^2+($B$2/2)^2)-E3)*($B$23)/($B$2/2))</f>
        <v>47.941760002587984</v>
      </c>
      <c r="M3" s="17">
        <f>AVERAGE(G3+L3,G2+L2)*$B$2*(D3-D2)</f>
        <v>2090.0395037802323</v>
      </c>
      <c r="O3" s="18">
        <v>5</v>
      </c>
      <c r="P3" s="18">
        <f t="shared" ref="P3:P66" si="9">O3+P2</f>
        <v>5</v>
      </c>
      <c r="Q3" s="3">
        <f>$T$2*(1-(S3/$B$12))/($B$9*((0.5*$B$2/$B$11)+(S3/$B$10)))</f>
        <v>4.714285714285711E-4</v>
      </c>
      <c r="R3" s="3">
        <f t="shared" si="1"/>
        <v>2.3571428571428554E-3</v>
      </c>
      <c r="S3" s="3">
        <f t="shared" ref="S3:S66" si="10">S2+R2</f>
        <v>2.4999999999999983E-3</v>
      </c>
      <c r="T3" s="20">
        <f t="shared" ref="T3:T66" si="11">Q3*$B$9*$B$2*0.5/$B$11</f>
        <v>9.4285714285714235</v>
      </c>
      <c r="U3" s="20">
        <v>338.6033131279562</v>
      </c>
    </row>
    <row r="4" spans="1:21" x14ac:dyDescent="0.35">
      <c r="A4" s="23" t="s">
        <v>10</v>
      </c>
      <c r="B4" s="24">
        <v>0</v>
      </c>
      <c r="D4" s="4">
        <f t="shared" ref="D4:D14" si="12">D3+($B$2*1/12)</f>
        <v>1.6666666666666667</v>
      </c>
      <c r="E4" s="4">
        <f t="shared" si="2"/>
        <v>3.651014958489835</v>
      </c>
      <c r="F4" s="1">
        <f t="shared" si="3"/>
        <v>390</v>
      </c>
      <c r="G4" s="1">
        <f t="shared" si="4"/>
        <v>216.66666666666669</v>
      </c>
      <c r="H4" s="15">
        <f>IF($B$1="NO",0,((((E4*(SQRT(($B$2/2)^2+E4^2)-E4)+((($B$2/2)^2)*LN(SQRT(($B$2/2)^2+E4^2)+E4)))/2)-(($B$2/2)*($B$2/2)*LN(($B$2/2))/2))*($B$23)/($B$2/2))/E4)</f>
        <v>71.774019135917143</v>
      </c>
      <c r="I4" s="16">
        <f>IF(F4-G4-H4&lt;0,0,F4-G4-H4)</f>
        <v>101.55931419741617</v>
      </c>
      <c r="J4" s="7">
        <f>$B$2*AVERAGE(E3:E4)*(I4-I3)</f>
        <v>177.42086067761292</v>
      </c>
      <c r="K4" s="8">
        <f t="shared" si="7"/>
        <v>91.525235907656338</v>
      </c>
      <c r="L4" s="1">
        <f t="shared" si="8"/>
        <v>50.802009364839357</v>
      </c>
      <c r="M4" s="17">
        <f>AVERAGE(G4+L4,G3+L3)*$B$2*(D4-D3)</f>
        <v>2182.2657056976141</v>
      </c>
      <c r="O4" s="18">
        <v>5</v>
      </c>
      <c r="P4" s="18">
        <f t="shared" si="9"/>
        <v>10</v>
      </c>
      <c r="Q4" s="3">
        <f>$T$2*(1-(S4/$B$12))/($B$9*((0.5*$B$2/$B$11)+(S4/$B$10)))</f>
        <v>4.4687499999999963E-4</v>
      </c>
      <c r="R4" s="3">
        <f t="shared" si="1"/>
        <v>2.2343749999999981E-3</v>
      </c>
      <c r="S4" s="3">
        <f t="shared" si="10"/>
        <v>4.8571428571428533E-3</v>
      </c>
      <c r="T4" s="20">
        <f t="shared" si="11"/>
        <v>8.9374999999999929</v>
      </c>
      <c r="U4" s="20">
        <v>335.6093635982424</v>
      </c>
    </row>
    <row r="5" spans="1:21" x14ac:dyDescent="0.35">
      <c r="A5" s="23" t="s">
        <v>1</v>
      </c>
      <c r="B5" s="24">
        <v>18</v>
      </c>
      <c r="D5" s="4">
        <f t="shared" si="12"/>
        <v>2.5</v>
      </c>
      <c r="E5" s="4">
        <f t="shared" si="2"/>
        <v>3.2859134626408517</v>
      </c>
      <c r="F5" s="1">
        <f t="shared" si="3"/>
        <v>405</v>
      </c>
      <c r="G5" s="1">
        <f>G4+($B$6*(D5-D4))</f>
        <v>225.00000000000003</v>
      </c>
      <c r="H5" s="15">
        <f t="shared" si="5"/>
        <v>73.932465478002428</v>
      </c>
      <c r="I5" s="16">
        <f t="shared" si="0"/>
        <v>106.06753452199754</v>
      </c>
      <c r="J5" s="7">
        <f t="shared" si="6"/>
        <v>156.36600849153766</v>
      </c>
      <c r="K5" s="8">
        <f>(D5-D4)*AVERAGE(E4:E5)*AVERAGE(I4:I5)*$B$8*TAN(RADIANS($B$7))</f>
        <v>86.620136804107773</v>
      </c>
      <c r="L5" s="1">
        <f t="shared" si="8"/>
        <v>53.943298986888678</v>
      </c>
      <c r="M5" s="17">
        <f>AVERAGE(G5+L5,G4+L4)*$B$2*(D5-D4)</f>
        <v>2276.7165625766443</v>
      </c>
      <c r="O5" s="18">
        <v>5</v>
      </c>
      <c r="P5" s="18">
        <f t="shared" si="9"/>
        <v>15</v>
      </c>
      <c r="Q5" s="3">
        <f t="shared" ref="Q5:Q67" si="13">$T$2*(1-(S5/$B$12))/($B$9*((0.5*$B$2/$B$11)+(S5/$B$10)))</f>
        <v>4.2547210384329636E-4</v>
      </c>
      <c r="R5" s="3">
        <f t="shared" si="1"/>
        <v>2.1273605192164819E-3</v>
      </c>
      <c r="S5" s="3">
        <f t="shared" si="10"/>
        <v>7.0915178571428518E-3</v>
      </c>
      <c r="T5" s="20">
        <f t="shared" si="11"/>
        <v>8.5094420768659269</v>
      </c>
      <c r="U5" s="20">
        <v>333.46186758736218</v>
      </c>
    </row>
    <row r="6" spans="1:21" x14ac:dyDescent="0.35">
      <c r="A6" s="23" t="s">
        <v>2</v>
      </c>
      <c r="B6" s="24">
        <v>10</v>
      </c>
      <c r="C6" s="4"/>
      <c r="D6" s="4">
        <f t="shared" si="12"/>
        <v>3.3333333333333335</v>
      </c>
      <c r="E6" s="4">
        <f t="shared" si="2"/>
        <v>2.9208119667918684</v>
      </c>
      <c r="F6" s="1">
        <f t="shared" si="3"/>
        <v>420</v>
      </c>
      <c r="G6" s="1">
        <f t="shared" si="4"/>
        <v>233.33333333333337</v>
      </c>
      <c r="H6" s="15">
        <f t="shared" si="5"/>
        <v>76.21872933014987</v>
      </c>
      <c r="I6" s="16">
        <f t="shared" si="0"/>
        <v>110.44793733651676</v>
      </c>
      <c r="J6" s="7">
        <f t="shared" si="6"/>
        <v>135.93978770017534</v>
      </c>
      <c r="K6" s="8">
        <f t="shared" si="7"/>
        <v>80.820141984852043</v>
      </c>
      <c r="L6" s="1">
        <f t="shared" si="8"/>
        <v>57.395923316199422</v>
      </c>
      <c r="M6" s="17">
        <f>AVERAGE(G6+L6,G5+L5)*$B$2*(D6-D5)</f>
        <v>2373.6356484850903</v>
      </c>
      <c r="O6" s="18">
        <v>5</v>
      </c>
      <c r="P6" s="18">
        <f t="shared" si="9"/>
        <v>20</v>
      </c>
      <c r="Q6" s="3">
        <f t="shared" si="13"/>
        <v>4.0659520785480172E-4</v>
      </c>
      <c r="R6" s="3">
        <f t="shared" si="1"/>
        <v>2.0329760392740087E-3</v>
      </c>
      <c r="S6" s="3">
        <f t="shared" si="10"/>
        <v>9.2188783763593341E-3</v>
      </c>
      <c r="T6" s="20">
        <f t="shared" si="11"/>
        <v>8.1319041570960344</v>
      </c>
      <c r="U6" s="20">
        <v>331.55876183779043</v>
      </c>
    </row>
    <row r="7" spans="1:21" x14ac:dyDescent="0.35">
      <c r="A7" s="23" t="s">
        <v>5</v>
      </c>
      <c r="B7" s="24">
        <v>30</v>
      </c>
      <c r="C7" s="4"/>
      <c r="D7" s="4">
        <f t="shared" si="12"/>
        <v>4.166666666666667</v>
      </c>
      <c r="E7" s="4">
        <f t="shared" si="2"/>
        <v>2.5557104709428851</v>
      </c>
      <c r="F7" s="1">
        <f t="shared" si="3"/>
        <v>435</v>
      </c>
      <c r="G7" s="1">
        <f t="shared" si="4"/>
        <v>241.66666666666671</v>
      </c>
      <c r="H7" s="15">
        <f t="shared" si="5"/>
        <v>78.64084340330939</v>
      </c>
      <c r="I7" s="16">
        <f t="shared" si="0"/>
        <v>114.6924899300239</v>
      </c>
      <c r="J7" s="7">
        <f t="shared" si="6"/>
        <v>116.2269375824354</v>
      </c>
      <c r="K7" s="8">
        <f t="shared" si="7"/>
        <v>74.152619408496108</v>
      </c>
      <c r="L7" s="1">
        <f t="shared" si="8"/>
        <v>61.191900853535017</v>
      </c>
      <c r="M7" s="17">
        <f t="shared" ref="M7:M14" si="14">AVERAGE(G7+L7,G6+L6)*$B$2*(D7-D6)</f>
        <v>2473.2826007072276</v>
      </c>
      <c r="O7" s="18">
        <v>5</v>
      </c>
      <c r="P7" s="18">
        <f t="shared" si="9"/>
        <v>25</v>
      </c>
      <c r="Q7" s="3">
        <f t="shared" si="13"/>
        <v>3.8978108967004701E-4</v>
      </c>
      <c r="R7" s="3">
        <f t="shared" si="1"/>
        <v>1.9489054483502351E-3</v>
      </c>
      <c r="S7" s="3">
        <f t="shared" si="10"/>
        <v>1.1251854415633342E-2</v>
      </c>
      <c r="T7" s="20">
        <f t="shared" si="11"/>
        <v>7.7956217934009402</v>
      </c>
      <c r="U7" s="20">
        <v>329.85688523020002</v>
      </c>
    </row>
    <row r="8" spans="1:21" x14ac:dyDescent="0.35">
      <c r="A8" s="23" t="s">
        <v>3</v>
      </c>
      <c r="B8" s="25">
        <v>0.5</v>
      </c>
      <c r="C8" s="4"/>
      <c r="D8" s="4">
        <f t="shared" si="12"/>
        <v>5</v>
      </c>
      <c r="E8" s="4">
        <f t="shared" si="2"/>
        <v>2.1906089750939017</v>
      </c>
      <c r="F8" s="1">
        <f t="shared" si="3"/>
        <v>450</v>
      </c>
      <c r="G8" s="1">
        <f>G7+($B$6*(D8-D7))</f>
        <v>250.00000000000006</v>
      </c>
      <c r="H8" s="15">
        <f t="shared" si="5"/>
        <v>81.206759269254206</v>
      </c>
      <c r="I8" s="16">
        <f t="shared" si="0"/>
        <v>118.79324073074574</v>
      </c>
      <c r="J8" s="7">
        <f t="shared" si="6"/>
        <v>97.317366344084974</v>
      </c>
      <c r="K8" s="8">
        <f t="shared" si="7"/>
        <v>66.647743227554514</v>
      </c>
      <c r="L8" s="1">
        <f t="shared" si="8"/>
        <v>65.364315554085252</v>
      </c>
      <c r="M8" s="17">
        <f t="shared" si="14"/>
        <v>2575.9286794761947</v>
      </c>
      <c r="O8" s="18">
        <v>5</v>
      </c>
      <c r="P8" s="18">
        <f t="shared" si="9"/>
        <v>30</v>
      </c>
      <c r="Q8" s="3">
        <f>$T$2*(1-(S8/$B$12))/($B$9*((0.5*$B$2/$B$11)+(S8/$B$10)))</f>
        <v>3.7467783717417261E-4</v>
      </c>
      <c r="R8" s="3">
        <f t="shared" si="1"/>
        <v>1.873389185870863E-3</v>
      </c>
      <c r="S8" s="3">
        <f t="shared" si="10"/>
        <v>1.3200759863983577E-2</v>
      </c>
      <c r="T8" s="20">
        <f t="shared" si="11"/>
        <v>7.4935567434834516</v>
      </c>
      <c r="U8" s="20">
        <v>328.32305365257264</v>
      </c>
    </row>
    <row r="9" spans="1:21" x14ac:dyDescent="0.35">
      <c r="A9" s="26" t="s">
        <v>32</v>
      </c>
      <c r="B9" s="27">
        <v>0.4</v>
      </c>
      <c r="C9" s="4"/>
      <c r="D9" s="4">
        <f t="shared" si="12"/>
        <v>5.833333333333333</v>
      </c>
      <c r="E9" s="4">
        <f t="shared" si="2"/>
        <v>1.8255074792449184</v>
      </c>
      <c r="F9" s="1">
        <f t="shared" si="3"/>
        <v>465</v>
      </c>
      <c r="G9" s="1">
        <f t="shared" si="4"/>
        <v>258.33333333333337</v>
      </c>
      <c r="H9" s="15">
        <f t="shared" si="5"/>
        <v>83.924142674528269</v>
      </c>
      <c r="I9" s="16">
        <f t="shared" si="0"/>
        <v>122.74252399213836</v>
      </c>
      <c r="J9" s="7">
        <f t="shared" si="6"/>
        <v>79.303907444618957</v>
      </c>
      <c r="K9" s="8">
        <f t="shared" si="7"/>
        <v>58.338584019875661</v>
      </c>
      <c r="L9" s="1">
        <f t="shared" si="8"/>
        <v>69.946372163239019</v>
      </c>
      <c r="M9" s="17">
        <f t="shared" si="14"/>
        <v>2681.8500877110728</v>
      </c>
      <c r="O9" s="18">
        <v>5</v>
      </c>
      <c r="P9" s="18">
        <f t="shared" si="9"/>
        <v>35</v>
      </c>
      <c r="Q9" s="3">
        <f t="shared" si="13"/>
        <v>3.6101255933468227E-4</v>
      </c>
      <c r="R9" s="3">
        <f t="shared" si="1"/>
        <v>1.8050627966734113E-3</v>
      </c>
      <c r="S9" s="3">
        <f t="shared" si="10"/>
        <v>1.507414904985444E-2</v>
      </c>
      <c r="T9" s="20">
        <f t="shared" si="11"/>
        <v>7.2202511866936465</v>
      </c>
      <c r="U9" s="20">
        <v>326.93127282505702</v>
      </c>
    </row>
    <row r="10" spans="1:21" x14ac:dyDescent="0.35">
      <c r="A10" s="26" t="s">
        <v>24</v>
      </c>
      <c r="B10" s="28">
        <v>9.9999999999999995E-7</v>
      </c>
      <c r="C10" s="4"/>
      <c r="D10" s="4">
        <f t="shared" si="12"/>
        <v>6.6666666666666661</v>
      </c>
      <c r="E10" s="4">
        <f t="shared" si="2"/>
        <v>1.4604059833959351</v>
      </c>
      <c r="F10" s="1">
        <f t="shared" si="3"/>
        <v>480</v>
      </c>
      <c r="G10" s="1">
        <f t="shared" si="4"/>
        <v>266.66666666666669</v>
      </c>
      <c r="H10" s="15">
        <f t="shared" si="5"/>
        <v>86.800134609008026</v>
      </c>
      <c r="I10" s="16">
        <f t="shared" si="0"/>
        <v>126.53319872432529</v>
      </c>
      <c r="J10" s="7">
        <f t="shared" si="6"/>
        <v>62.279145674927705</v>
      </c>
      <c r="K10" s="8">
        <f t="shared" si="7"/>
        <v>49.261115878992925</v>
      </c>
      <c r="L10" s="1">
        <f t="shared" si="8"/>
        <v>74.970161439687644</v>
      </c>
      <c r="M10" s="17">
        <f t="shared" si="14"/>
        <v>2791.3188900121932</v>
      </c>
      <c r="O10" s="18">
        <v>5</v>
      </c>
      <c r="P10" s="18">
        <f t="shared" si="9"/>
        <v>40</v>
      </c>
      <c r="Q10" s="3">
        <f t="shared" si="13"/>
        <v>3.4856987951417499E-4</v>
      </c>
      <c r="R10" s="3">
        <f t="shared" si="1"/>
        <v>1.742849397570875E-3</v>
      </c>
      <c r="S10" s="3">
        <f t="shared" si="10"/>
        <v>1.6879211846527853E-2</v>
      </c>
      <c r="T10" s="20">
        <f t="shared" si="11"/>
        <v>6.9713975902834999</v>
      </c>
      <c r="U10" s="20">
        <v>325.66085515417677</v>
      </c>
    </row>
    <row r="11" spans="1:21" x14ac:dyDescent="0.35">
      <c r="A11" s="26" t="s">
        <v>30</v>
      </c>
      <c r="B11" s="28">
        <v>1E-4</v>
      </c>
      <c r="C11" s="4"/>
      <c r="D11" s="4">
        <f t="shared" si="12"/>
        <v>7.4999999999999991</v>
      </c>
      <c r="E11" s="4">
        <f t="shared" si="2"/>
        <v>1.0953044875469518</v>
      </c>
      <c r="F11" s="1">
        <f t="shared" si="3"/>
        <v>495</v>
      </c>
      <c r="G11" s="1">
        <f t="shared" si="4"/>
        <v>275</v>
      </c>
      <c r="H11" s="15">
        <f t="shared" si="5"/>
        <v>89.841089121923943</v>
      </c>
      <c r="I11" s="16">
        <f t="shared" si="0"/>
        <v>130.15891087807606</v>
      </c>
      <c r="J11" s="7">
        <f t="shared" si="6"/>
        <v>46.331352579828632</v>
      </c>
      <c r="K11" s="8">
        <f t="shared" si="7"/>
        <v>39.454115453562075</v>
      </c>
      <c r="L11" s="1">
        <f t="shared" si="8"/>
        <v>80.465179500624842</v>
      </c>
      <c r="M11" s="17">
        <f t="shared" si="14"/>
        <v>2904.591698362412</v>
      </c>
      <c r="O11" s="18">
        <v>5</v>
      </c>
      <c r="P11" s="18">
        <f t="shared" si="9"/>
        <v>45</v>
      </c>
      <c r="Q11" s="3">
        <f t="shared" si="13"/>
        <v>3.3717719135957725E-4</v>
      </c>
      <c r="R11" s="3">
        <f t="shared" si="1"/>
        <v>1.6858859567978862E-3</v>
      </c>
      <c r="S11" s="3">
        <f t="shared" si="10"/>
        <v>1.862206124409873E-2</v>
      </c>
      <c r="T11" s="20">
        <f t="shared" si="11"/>
        <v>6.7435438271915453</v>
      </c>
      <c r="U11" s="20">
        <v>324.49510467629972</v>
      </c>
    </row>
    <row r="12" spans="1:21" x14ac:dyDescent="0.35">
      <c r="A12" s="26" t="s">
        <v>31</v>
      </c>
      <c r="B12" s="27">
        <v>0.25</v>
      </c>
      <c r="C12" s="4"/>
      <c r="D12" s="4">
        <f t="shared" si="12"/>
        <v>8.3333333333333321</v>
      </c>
      <c r="E12" s="4">
        <f t="shared" si="2"/>
        <v>0.73020299169796843</v>
      </c>
      <c r="F12" s="1">
        <f t="shared" si="3"/>
        <v>510</v>
      </c>
      <c r="G12" s="1">
        <f t="shared" si="4"/>
        <v>283.33333333333331</v>
      </c>
      <c r="H12" s="15">
        <f t="shared" si="5"/>
        <v>93.052305735484993</v>
      </c>
      <c r="I12" s="16">
        <f t="shared" si="0"/>
        <v>133.61436093118169</v>
      </c>
      <c r="J12" s="7">
        <f t="shared" si="6"/>
        <v>31.539749580507976</v>
      </c>
      <c r="K12" s="8">
        <f t="shared" si="7"/>
        <v>28.958932094189517</v>
      </c>
      <c r="L12" s="1">
        <f t="shared" si="8"/>
        <v>86.456706854374517</v>
      </c>
      <c r="M12" s="17">
        <f t="shared" si="14"/>
        <v>3021.8967487013851</v>
      </c>
      <c r="O12" s="18">
        <v>5</v>
      </c>
      <c r="P12" s="18">
        <f t="shared" si="9"/>
        <v>50</v>
      </c>
      <c r="Q12" s="3">
        <f t="shared" si="13"/>
        <v>3.2669429551510792E-4</v>
      </c>
      <c r="R12" s="3">
        <f t="shared" si="1"/>
        <v>1.6334714775755395E-3</v>
      </c>
      <c r="S12" s="3">
        <f t="shared" si="10"/>
        <v>2.0307947200896615E-2</v>
      </c>
      <c r="T12" s="20">
        <f t="shared" si="11"/>
        <v>6.5338859103021578</v>
      </c>
      <c r="U12" s="20">
        <v>323.42037707338119</v>
      </c>
    </row>
    <row r="13" spans="1:21" ht="15" customHeight="1" x14ac:dyDescent="0.35">
      <c r="A13" s="44" t="s">
        <v>20</v>
      </c>
      <c r="B13" s="45"/>
      <c r="C13" s="4"/>
      <c r="D13" s="4">
        <f t="shared" si="12"/>
        <v>9.1666666666666661</v>
      </c>
      <c r="E13" s="4">
        <f t="shared" si="2"/>
        <v>0.36510149584898471</v>
      </c>
      <c r="F13" s="1">
        <f t="shared" si="3"/>
        <v>525</v>
      </c>
      <c r="G13" s="1">
        <f t="shared" si="4"/>
        <v>291.66666666666663</v>
      </c>
      <c r="H13" s="15">
        <f t="shared" si="5"/>
        <v>96.437780170083926</v>
      </c>
      <c r="I13" s="16">
        <f t="shared" si="0"/>
        <v>136.89555316324945</v>
      </c>
      <c r="J13" s="7">
        <f t="shared" si="6"/>
        <v>17.969522881440064</v>
      </c>
      <c r="K13" s="8">
        <f t="shared" si="7"/>
        <v>17.819117561078254</v>
      </c>
      <c r="L13" s="1">
        <f t="shared" si="8"/>
        <v>92.964213858821807</v>
      </c>
      <c r="M13" s="17">
        <f t="shared" si="14"/>
        <v>3143.4205029716536</v>
      </c>
      <c r="O13" s="18">
        <v>5</v>
      </c>
      <c r="P13" s="18">
        <f t="shared" si="9"/>
        <v>55</v>
      </c>
      <c r="Q13" s="3">
        <f t="shared" si="13"/>
        <v>3.1700595499901122E-4</v>
      </c>
      <c r="R13" s="3">
        <f t="shared" si="1"/>
        <v>1.5850297749950561E-3</v>
      </c>
      <c r="S13" s="3">
        <f t="shared" si="10"/>
        <v>2.1941418678472154E-2</v>
      </c>
      <c r="T13" s="20">
        <f t="shared" si="11"/>
        <v>6.3401190999802255</v>
      </c>
      <c r="U13" s="20">
        <v>322.42539967432987</v>
      </c>
    </row>
    <row r="14" spans="1:21" x14ac:dyDescent="0.35">
      <c r="A14" s="29" t="s">
        <v>11</v>
      </c>
      <c r="B14" s="30">
        <f>B2*E2*I2</f>
        <v>4039.0887225076676</v>
      </c>
      <c r="C14" s="4"/>
      <c r="D14" s="4">
        <f t="shared" si="12"/>
        <v>10</v>
      </c>
      <c r="E14" s="4">
        <f t="shared" si="2"/>
        <v>9.9920072216264089E-16</v>
      </c>
      <c r="F14" s="1">
        <f t="shared" si="3"/>
        <v>540</v>
      </c>
      <c r="G14" s="1">
        <f t="shared" si="4"/>
        <v>299.99999999999994</v>
      </c>
      <c r="H14" s="15">
        <f>$B$23</f>
        <v>99.999999999999943</v>
      </c>
      <c r="I14" s="16">
        <f t="shared" si="0"/>
        <v>140.00000000000011</v>
      </c>
      <c r="J14" s="7">
        <f t="shared" si="6"/>
        <v>5.6671909194066048</v>
      </c>
      <c r="K14" s="8">
        <f t="shared" si="7"/>
        <v>6.0799181556470359</v>
      </c>
      <c r="L14" s="1">
        <f t="shared" si="8"/>
        <v>99.999999999999915</v>
      </c>
      <c r="M14" s="17">
        <f t="shared" si="14"/>
        <v>3269.2953355228706</v>
      </c>
      <c r="O14" s="18">
        <v>5</v>
      </c>
      <c r="P14" s="18">
        <f t="shared" si="9"/>
        <v>60</v>
      </c>
      <c r="Q14" s="3">
        <f t="shared" si="13"/>
        <v>3.0801644348409031E-4</v>
      </c>
      <c r="R14" s="3">
        <f t="shared" si="1"/>
        <v>1.5400822174204516E-3</v>
      </c>
      <c r="S14" s="3">
        <f t="shared" si="10"/>
        <v>2.352644845346721E-2</v>
      </c>
      <c r="T14" s="20">
        <f t="shared" si="11"/>
        <v>6.1603288696818064</v>
      </c>
      <c r="U14" s="20">
        <v>321.50076358685021</v>
      </c>
    </row>
    <row r="15" spans="1:21" x14ac:dyDescent="0.35">
      <c r="A15" s="31" t="s">
        <v>6</v>
      </c>
      <c r="B15" s="32">
        <f>SUM(J3:J14)</f>
        <v>1125.3880013531343</v>
      </c>
      <c r="C15" s="4"/>
      <c r="D15" s="4"/>
      <c r="E15" s="4"/>
      <c r="O15" s="18">
        <v>5</v>
      </c>
      <c r="P15" s="18">
        <f t="shared" si="9"/>
        <v>65</v>
      </c>
      <c r="Q15" s="3">
        <f t="shared" si="13"/>
        <v>2.9964548423755253E-4</v>
      </c>
      <c r="R15" s="3">
        <f t="shared" si="1"/>
        <v>1.4982274211877626E-3</v>
      </c>
      <c r="S15" s="3">
        <f t="shared" si="10"/>
        <v>2.5066530670887661E-2</v>
      </c>
      <c r="T15" s="20">
        <f t="shared" si="11"/>
        <v>5.9929096847510506</v>
      </c>
      <c r="U15" s="20">
        <v>320.63854754097332</v>
      </c>
    </row>
    <row r="16" spans="1:21" x14ac:dyDescent="0.35">
      <c r="A16" s="33" t="s">
        <v>7</v>
      </c>
      <c r="B16" s="34">
        <f>SUM(K3:K14)</f>
        <v>695.1883894408154</v>
      </c>
      <c r="C16" s="4"/>
      <c r="D16" s="4"/>
      <c r="O16" s="18">
        <v>5</v>
      </c>
      <c r="P16" s="18">
        <f t="shared" si="9"/>
        <v>70</v>
      </c>
      <c r="Q16" s="3">
        <f t="shared" si="13"/>
        <v>2.9182517841854232E-4</v>
      </c>
      <c r="R16" s="3">
        <f t="shared" si="1"/>
        <v>1.4591258920927117E-3</v>
      </c>
      <c r="S16" s="3">
        <f t="shared" si="10"/>
        <v>2.6564758092075424E-2</v>
      </c>
      <c r="T16" s="20">
        <f t="shared" si="11"/>
        <v>5.8365035683708459</v>
      </c>
      <c r="U16" s="20">
        <v>319.83202711881768</v>
      </c>
    </row>
    <row r="17" spans="1:21" x14ac:dyDescent="0.35">
      <c r="A17" s="35" t="s">
        <v>12</v>
      </c>
      <c r="B17" s="36">
        <f>((B14+B15)/TAN(RADIANS(B20)+RADIANS(B7)))-(2*B16*COS(RADIANS(B7))/SIN(RADIANS($B$20)+RADIANS(B7)))</f>
        <v>2304.5036350100318</v>
      </c>
      <c r="C17" s="4"/>
      <c r="D17" s="4"/>
      <c r="O17" s="18">
        <v>5</v>
      </c>
      <c r="P17" s="18">
        <f t="shared" si="9"/>
        <v>75</v>
      </c>
      <c r="Q17" s="3">
        <f t="shared" si="13"/>
        <v>2.844976495413545E-4</v>
      </c>
      <c r="R17" s="3">
        <f t="shared" si="1"/>
        <v>1.4224882477067726E-3</v>
      </c>
      <c r="S17" s="3">
        <f t="shared" si="10"/>
        <v>2.8023883984168135E-2</v>
      </c>
      <c r="T17" s="20">
        <f t="shared" si="11"/>
        <v>5.6899529908270896</v>
      </c>
      <c r="U17" s="20">
        <v>319.07545180767715</v>
      </c>
    </row>
    <row r="18" spans="1:21" x14ac:dyDescent="0.35">
      <c r="A18" s="37" t="s">
        <v>18</v>
      </c>
      <c r="B18" s="38">
        <f>SUM(M3:M14)</f>
        <v>31784.241964004588</v>
      </c>
      <c r="C18" s="4"/>
      <c r="D18" s="4"/>
      <c r="O18" s="18">
        <v>5</v>
      </c>
      <c r="P18" s="18">
        <f t="shared" si="9"/>
        <v>80</v>
      </c>
      <c r="Q18" s="3">
        <f t="shared" si="13"/>
        <v>2.7761321451457788E-4</v>
      </c>
      <c r="R18" s="3">
        <f t="shared" si="1"/>
        <v>1.3880660725728894E-3</v>
      </c>
      <c r="S18" s="3">
        <f t="shared" si="10"/>
        <v>2.9446372231874907E-2</v>
      </c>
      <c r="T18" s="20">
        <f t="shared" si="11"/>
        <v>5.5522642902915571</v>
      </c>
      <c r="U18" s="20">
        <v>318.36387082673963</v>
      </c>
    </row>
    <row r="19" spans="1:21" x14ac:dyDescent="0.35">
      <c r="A19" s="35" t="s">
        <v>8</v>
      </c>
      <c r="B19" s="36">
        <f>(B17+B18)*PI()/4</f>
        <v>26773.238185988928</v>
      </c>
      <c r="C19" s="4"/>
      <c r="D19" s="4"/>
      <c r="O19" s="18">
        <v>5</v>
      </c>
      <c r="P19" s="18">
        <f t="shared" si="9"/>
        <v>85</v>
      </c>
      <c r="Q19" s="3">
        <f t="shared" si="13"/>
        <v>2.7112894738020682E-4</v>
      </c>
      <c r="R19" s="3">
        <f t="shared" si="1"/>
        <v>1.3556447369010341E-3</v>
      </c>
      <c r="S19" s="3">
        <f t="shared" si="10"/>
        <v>3.0834438304447796E-2</v>
      </c>
      <c r="T19" s="20">
        <f t="shared" si="11"/>
        <v>5.4225789476041362</v>
      </c>
      <c r="U19" s="20">
        <v>317.69299537052717</v>
      </c>
    </row>
    <row r="20" spans="1:21" ht="15.5" x14ac:dyDescent="0.35">
      <c r="A20" s="39" t="s">
        <v>4</v>
      </c>
      <c r="B20" s="40">
        <v>23.659273573774936</v>
      </c>
      <c r="C20" s="1"/>
      <c r="D20" s="1"/>
      <c r="O20" s="18">
        <v>5</v>
      </c>
      <c r="P20" s="18">
        <f t="shared" si="9"/>
        <v>90</v>
      </c>
      <c r="Q20" s="3">
        <f t="shared" si="13"/>
        <v>2.6500753971628609E-4</v>
      </c>
      <c r="R20" s="3">
        <f t="shared" si="1"/>
        <v>1.3250376985814304E-3</v>
      </c>
      <c r="S20" s="3">
        <f t="shared" si="10"/>
        <v>3.2190083041348828E-2</v>
      </c>
      <c r="T20" s="20">
        <f t="shared" si="11"/>
        <v>5.3001507943257211</v>
      </c>
      <c r="U20" s="20">
        <v>317.05908858944355</v>
      </c>
    </row>
    <row r="21" spans="1:21" x14ac:dyDescent="0.35">
      <c r="A21" s="41" t="s">
        <v>23</v>
      </c>
      <c r="B21" s="36">
        <f>4*B19/(PI()*$B$2*$B$2)</f>
        <v>340.88745599014618</v>
      </c>
      <c r="C21" s="18"/>
      <c r="D21" s="18"/>
      <c r="E21" s="2"/>
      <c r="F21" s="2"/>
      <c r="G21" s="2"/>
      <c r="H21" s="2"/>
      <c r="I21" s="2"/>
      <c r="J21" s="2"/>
      <c r="K21" s="2"/>
      <c r="L21" s="2"/>
      <c r="M21" s="2"/>
      <c r="N21" s="2"/>
      <c r="O21" s="18">
        <v>5</v>
      </c>
      <c r="P21" s="18">
        <f t="shared" si="9"/>
        <v>95</v>
      </c>
      <c r="Q21" s="3">
        <f t="shared" si="13"/>
        <v>2.592163878134272E-4</v>
      </c>
      <c r="R21" s="3">
        <f t="shared" si="1"/>
        <v>1.296081939067136E-3</v>
      </c>
      <c r="S21" s="3">
        <f t="shared" si="10"/>
        <v>3.3515120739930258E-2</v>
      </c>
      <c r="T21" s="20">
        <f t="shared" si="11"/>
        <v>5.1843277562685435</v>
      </c>
      <c r="U21" s="20">
        <v>316.45887801691737</v>
      </c>
    </row>
    <row r="22" spans="1:21" x14ac:dyDescent="0.35">
      <c r="A22" s="41" t="s">
        <v>22</v>
      </c>
      <c r="B22" s="36">
        <v>350</v>
      </c>
      <c r="C22" s="18"/>
      <c r="D22" s="18"/>
      <c r="E22" s="2"/>
      <c r="F22" s="2"/>
      <c r="G22" s="2"/>
      <c r="H22" s="2"/>
      <c r="I22" s="2"/>
      <c r="J22" s="2"/>
      <c r="K22" s="2"/>
      <c r="L22" s="2"/>
      <c r="M22" s="2"/>
      <c r="N22" s="2"/>
      <c r="O22" s="18">
        <v>5</v>
      </c>
      <c r="P22" s="18">
        <f t="shared" si="9"/>
        <v>100</v>
      </c>
      <c r="Q22" s="3">
        <f t="shared" si="13"/>
        <v>2.5372685508950069E-4</v>
      </c>
      <c r="R22" s="3">
        <f t="shared" si="1"/>
        <v>1.2686342754475034E-3</v>
      </c>
      <c r="S22" s="3">
        <f t="shared" si="10"/>
        <v>3.4811202678997392E-2</v>
      </c>
      <c r="T22" s="20">
        <f t="shared" si="11"/>
        <v>5.0745371017900132</v>
      </c>
      <c r="U22" s="20">
        <v>315.88948360084532</v>
      </c>
    </row>
    <row r="23" spans="1:21" x14ac:dyDescent="0.35">
      <c r="A23" s="42" t="s">
        <v>40</v>
      </c>
      <c r="B23" s="43">
        <f>B22-G8</f>
        <v>99.999999999999943</v>
      </c>
      <c r="C23" s="18"/>
      <c r="D23" s="18"/>
      <c r="E23" s="2"/>
      <c r="F23" s="2"/>
      <c r="G23" s="2"/>
      <c r="H23" s="2"/>
      <c r="I23" s="2"/>
      <c r="J23" s="2"/>
      <c r="K23" s="2"/>
      <c r="L23" s="2"/>
      <c r="M23" s="2"/>
      <c r="N23" s="2"/>
      <c r="O23" s="18">
        <v>5</v>
      </c>
      <c r="P23" s="18">
        <f t="shared" si="9"/>
        <v>105</v>
      </c>
      <c r="Q23" s="3">
        <f t="shared" si="13"/>
        <v>2.485136712779389E-4</v>
      </c>
      <c r="R23" s="3">
        <f t="shared" si="1"/>
        <v>1.2425683563896945E-3</v>
      </c>
      <c r="S23" s="3">
        <f t="shared" si="10"/>
        <v>3.6079836954444895E-2</v>
      </c>
      <c r="T23" s="20">
        <f t="shared" si="11"/>
        <v>4.9702734255587782</v>
      </c>
      <c r="U23" s="20">
        <v>315.34835853280958</v>
      </c>
    </row>
    <row r="24" spans="1:21" x14ac:dyDescent="0.35">
      <c r="C24" s="18"/>
      <c r="D24" s="18"/>
      <c r="E24" s="2"/>
      <c r="F24" s="2"/>
      <c r="G24" s="2"/>
      <c r="H24" s="2"/>
      <c r="I24" s="2"/>
      <c r="J24" s="2"/>
      <c r="K24" s="2"/>
      <c r="L24" s="2"/>
      <c r="M24" s="2"/>
      <c r="N24" s="2"/>
      <c r="O24" s="18">
        <v>5</v>
      </c>
      <c r="P24" s="18">
        <f t="shared" si="9"/>
        <v>110</v>
      </c>
      <c r="Q24" s="3">
        <f t="shared" si="13"/>
        <v>2.4355443935850579E-4</v>
      </c>
      <c r="R24" s="3">
        <f t="shared" si="1"/>
        <v>1.2177721967925289E-3</v>
      </c>
      <c r="S24" s="3">
        <f t="shared" si="10"/>
        <v>3.732240531083459E-2</v>
      </c>
      <c r="T24" s="20">
        <f t="shared" si="11"/>
        <v>4.8710887871701161</v>
      </c>
      <c r="U24" s="20">
        <v>314.83324212083193</v>
      </c>
    </row>
    <row r="25" spans="1:21" x14ac:dyDescent="0.35">
      <c r="A25" s="19"/>
      <c r="B25" s="20"/>
      <c r="C25" s="18"/>
      <c r="F25" s="2"/>
      <c r="G25" s="2"/>
      <c r="H25" s="2"/>
      <c r="I25" s="2"/>
      <c r="J25" s="2"/>
      <c r="K25" s="2"/>
      <c r="L25" s="2"/>
      <c r="M25" s="2"/>
      <c r="N25" s="2"/>
      <c r="O25" s="18">
        <v>5</v>
      </c>
      <c r="P25" s="18">
        <f t="shared" si="9"/>
        <v>115</v>
      </c>
      <c r="Q25" s="3">
        <f t="shared" si="13"/>
        <v>2.388292280915711E-4</v>
      </c>
      <c r="R25" s="3">
        <f t="shared" si="1"/>
        <v>1.1941461404578555E-3</v>
      </c>
      <c r="S25" s="3">
        <f t="shared" si="10"/>
        <v>3.8540177507627116E-2</v>
      </c>
      <c r="T25" s="20">
        <f t="shared" si="11"/>
        <v>4.776584561831422</v>
      </c>
      <c r="U25" s="20">
        <v>314.34211929130424</v>
      </c>
    </row>
    <row r="26" spans="1:21" x14ac:dyDescent="0.35">
      <c r="A26" s="4"/>
      <c r="B26" s="4"/>
      <c r="C26" s="18"/>
      <c r="F26" s="2"/>
      <c r="G26" s="2"/>
      <c r="H26" s="2"/>
      <c r="I26" s="2"/>
      <c r="J26" s="2"/>
      <c r="K26" s="2"/>
      <c r="L26" s="2"/>
      <c r="M26" s="2"/>
      <c r="N26" s="2"/>
      <c r="O26" s="18">
        <v>5</v>
      </c>
      <c r="P26" s="18">
        <f t="shared" si="9"/>
        <v>120</v>
      </c>
      <c r="Q26" s="3">
        <f t="shared" si="13"/>
        <v>2.3432023311004493E-4</v>
      </c>
      <c r="R26" s="3">
        <f t="shared" si="1"/>
        <v>1.1716011655502245E-3</v>
      </c>
      <c r="S26" s="3">
        <f t="shared" si="10"/>
        <v>3.973432364808497E-2</v>
      </c>
      <c r="T26" s="20">
        <f t="shared" si="11"/>
        <v>4.686404662200899</v>
      </c>
      <c r="U26" s="20">
        <v>313.87318684598034</v>
      </c>
    </row>
    <row r="27" spans="1:21" x14ac:dyDescent="0.35">
      <c r="A27" s="4"/>
      <c r="B27" s="4"/>
      <c r="C27" s="18"/>
      <c r="D27" s="18"/>
      <c r="E27" s="2"/>
      <c r="F27" s="2"/>
      <c r="G27" s="2"/>
      <c r="H27" s="2"/>
      <c r="I27" s="2"/>
      <c r="J27" s="2"/>
      <c r="K27" s="2"/>
      <c r="L27" s="2"/>
      <c r="M27" s="2"/>
      <c r="N27" s="2"/>
      <c r="O27" s="18">
        <v>5</v>
      </c>
      <c r="P27" s="18">
        <f t="shared" si="9"/>
        <v>125</v>
      </c>
      <c r="Q27" s="3">
        <f t="shared" si="13"/>
        <v>2.3001149332678276E-4</v>
      </c>
      <c r="R27" s="3">
        <f t="shared" si="1"/>
        <v>1.1500574666339137E-3</v>
      </c>
      <c r="S27" s="3">
        <f t="shared" si="10"/>
        <v>4.0905924813635197E-2</v>
      </c>
      <c r="T27" s="20">
        <f t="shared" si="11"/>
        <v>4.6002298665356554</v>
      </c>
      <c r="U27" s="20">
        <v>313.42482674724386</v>
      </c>
    </row>
    <row r="28" spans="1:21" x14ac:dyDescent="0.35">
      <c r="C28" s="18"/>
      <c r="D28" s="18"/>
      <c r="E28" s="2"/>
      <c r="F28" s="2"/>
      <c r="G28" s="2"/>
      <c r="H28" s="2"/>
      <c r="I28" s="2"/>
      <c r="J28" s="2"/>
      <c r="K28" s="2"/>
      <c r="L28" s="2"/>
      <c r="M28" s="2"/>
      <c r="N28" s="2"/>
      <c r="O28" s="18">
        <v>5</v>
      </c>
      <c r="P28" s="18">
        <f t="shared" si="9"/>
        <v>130</v>
      </c>
      <c r="Q28" s="3">
        <f t="shared" si="13"/>
        <v>2.258886522840358E-4</v>
      </c>
      <c r="R28" s="3">
        <f t="shared" si="1"/>
        <v>1.1294432614201791E-3</v>
      </c>
      <c r="S28" s="3">
        <f t="shared" si="10"/>
        <v>4.2055982280269112E-2</v>
      </c>
      <c r="T28" s="20">
        <f t="shared" si="11"/>
        <v>4.5177730456807161</v>
      </c>
      <c r="U28" s="20">
        <v>312.99558099396853</v>
      </c>
    </row>
    <row r="29" spans="1:21" x14ac:dyDescent="0.35">
      <c r="A29" s="4"/>
      <c r="B29" s="4"/>
      <c r="C29" s="18"/>
      <c r="D29" s="4"/>
      <c r="E29" s="2"/>
      <c r="F29" s="2"/>
      <c r="G29" s="2"/>
      <c r="H29" s="2"/>
      <c r="I29" s="2"/>
      <c r="J29" s="2"/>
      <c r="K29" s="2"/>
      <c r="L29" s="2"/>
      <c r="M29" s="2"/>
      <c r="N29" s="2"/>
      <c r="O29" s="18">
        <v>5</v>
      </c>
      <c r="P29" s="18">
        <f t="shared" si="9"/>
        <v>135</v>
      </c>
      <c r="Q29" s="3">
        <f t="shared" si="13"/>
        <v>2.2193875625516759E-4</v>
      </c>
      <c r="R29" s="3">
        <f t="shared" si="1"/>
        <v>1.109693781275838E-3</v>
      </c>
      <c r="S29" s="3">
        <f t="shared" si="10"/>
        <v>4.318542554168929E-2</v>
      </c>
      <c r="T29" s="20">
        <f t="shared" si="11"/>
        <v>4.4387751251033523</v>
      </c>
      <c r="U29" s="20">
        <v>312.58413277030968</v>
      </c>
    </row>
    <row r="30" spans="1:21" x14ac:dyDescent="0.35">
      <c r="A30" s="4"/>
      <c r="B30" s="4"/>
      <c r="C30" s="18"/>
      <c r="D30" s="18"/>
      <c r="E30" s="2"/>
      <c r="F30" s="2"/>
      <c r="G30" s="2"/>
      <c r="H30" s="2"/>
      <c r="I30" s="2"/>
      <c r="J30" s="2"/>
      <c r="K30" s="2"/>
      <c r="L30" s="2"/>
      <c r="M30" s="2"/>
      <c r="N30" s="2"/>
      <c r="O30" s="18">
        <v>5</v>
      </c>
      <c r="P30" s="18">
        <f t="shared" si="9"/>
        <v>140</v>
      </c>
      <c r="Q30" s="3">
        <f t="shared" si="13"/>
        <v>2.1815008258538392E-4</v>
      </c>
      <c r="R30" s="3">
        <f t="shared" si="1"/>
        <v>1.0907504129269196E-3</v>
      </c>
      <c r="S30" s="3">
        <f t="shared" si="10"/>
        <v>4.4295119322965128E-2</v>
      </c>
      <c r="T30" s="20">
        <f t="shared" si="11"/>
        <v>4.3630016517076777</v>
      </c>
      <c r="U30" s="20">
        <v>312.18928910918129</v>
      </c>
    </row>
    <row r="31" spans="1:21" x14ac:dyDescent="0.35">
      <c r="A31" s="4"/>
      <c r="B31" s="4"/>
      <c r="C31" s="18"/>
      <c r="D31" s="18"/>
      <c r="E31" s="2"/>
      <c r="F31" s="2"/>
      <c r="G31" s="2"/>
      <c r="H31" s="2"/>
      <c r="I31" s="2"/>
      <c r="J31" s="2"/>
      <c r="K31" s="2"/>
      <c r="L31" s="2"/>
      <c r="M31" s="2"/>
      <c r="N31" s="2"/>
      <c r="O31" s="18">
        <v>5</v>
      </c>
      <c r="P31" s="18">
        <f t="shared" si="9"/>
        <v>145</v>
      </c>
      <c r="Q31" s="3">
        <f t="shared" si="13"/>
        <v>2.1451199305583837E-4</v>
      </c>
      <c r="R31" s="3">
        <f t="shared" si="1"/>
        <v>1.0725599652791919E-3</v>
      </c>
      <c r="S31" s="3">
        <f t="shared" si="10"/>
        <v>4.5385869735892044E-2</v>
      </c>
      <c r="T31" s="20">
        <f t="shared" si="11"/>
        <v>4.2902398611167669</v>
      </c>
      <c r="U31" s="20">
        <v>311.80996568050136</v>
      </c>
    </row>
    <row r="32" spans="1:21" x14ac:dyDescent="0.35">
      <c r="O32" s="18">
        <v>5</v>
      </c>
      <c r="P32" s="18">
        <f t="shared" si="9"/>
        <v>150</v>
      </c>
      <c r="Q32" s="3">
        <f t="shared" si="13"/>
        <v>2.110148080674769E-4</v>
      </c>
      <c r="R32" s="3">
        <f t="shared" si="1"/>
        <v>1.0550740403373845E-3</v>
      </c>
      <c r="S32" s="3">
        <f t="shared" si="10"/>
        <v>4.6458429701171235E-2</v>
      </c>
      <c r="T32" s="20">
        <f t="shared" si="11"/>
        <v>4.2202961613495376</v>
      </c>
      <c r="U32" s="20">
        <v>311.44517572204342</v>
      </c>
    </row>
    <row r="33" spans="1:21" x14ac:dyDescent="0.35">
      <c r="O33" s="18">
        <v>5</v>
      </c>
      <c r="P33" s="18">
        <f t="shared" si="9"/>
        <v>155</v>
      </c>
      <c r="Q33" s="3">
        <f t="shared" si="13"/>
        <v>2.0764969823589542E-4</v>
      </c>
      <c r="R33" s="3">
        <f t="shared" si="1"/>
        <v>1.0382484911794772E-3</v>
      </c>
      <c r="S33" s="3">
        <f t="shared" si="10"/>
        <v>4.7513503741508617E-2</v>
      </c>
      <c r="T33" s="20">
        <f t="shared" si="11"/>
        <v>4.1529939647179077</v>
      </c>
      <c r="U33" s="20">
        <v>311.09401752606118</v>
      </c>
    </row>
    <row r="34" spans="1:21" x14ac:dyDescent="0.35">
      <c r="B34" s="3"/>
      <c r="O34" s="18">
        <v>5</v>
      </c>
      <c r="P34" s="18">
        <f t="shared" si="9"/>
        <v>160</v>
      </c>
      <c r="Q34" s="3">
        <f t="shared" si="13"/>
        <v>2.0440859061711787E-4</v>
      </c>
      <c r="R34" s="3">
        <f t="shared" si="1"/>
        <v>1.0220429530855893E-3</v>
      </c>
      <c r="S34" s="3">
        <f t="shared" si="10"/>
        <v>4.8551752232688095E-2</v>
      </c>
      <c r="T34" s="20">
        <f t="shared" si="11"/>
        <v>4.0881718123423569</v>
      </c>
      <c r="U34" s="20">
        <v>310.75566615692367</v>
      </c>
    </row>
    <row r="35" spans="1:21" x14ac:dyDescent="0.35">
      <c r="B35" s="6"/>
      <c r="O35" s="18">
        <v>5</v>
      </c>
      <c r="P35" s="18">
        <f t="shared" si="9"/>
        <v>165</v>
      </c>
      <c r="Q35" s="3">
        <f t="shared" si="13"/>
        <v>2.012840872845042E-4</v>
      </c>
      <c r="R35" s="3">
        <f t="shared" si="1"/>
        <v>1.006420436422521E-3</v>
      </c>
      <c r="S35" s="3">
        <f t="shared" si="10"/>
        <v>4.9573795185773685E-2</v>
      </c>
      <c r="T35" s="20">
        <f t="shared" si="11"/>
        <v>4.0256817456900844</v>
      </c>
      <c r="U35" s="20">
        <v>310.42936515205224</v>
      </c>
    </row>
    <row r="36" spans="1:21" x14ac:dyDescent="0.35">
      <c r="A36" s="2"/>
      <c r="O36" s="18">
        <v>5</v>
      </c>
      <c r="P36" s="18">
        <f t="shared" si="9"/>
        <v>170</v>
      </c>
      <c r="Q36" s="3">
        <f t="shared" si="13"/>
        <v>1.9826939437759104E-4</v>
      </c>
      <c r="R36" s="3">
        <f t="shared" si="1"/>
        <v>9.9134697188795525E-4</v>
      </c>
      <c r="S36" s="3">
        <f t="shared" si="10"/>
        <v>5.0580215622196209E-2</v>
      </c>
      <c r="T36" s="20">
        <f t="shared" si="11"/>
        <v>3.9653878875518211</v>
      </c>
      <c r="U36" s="20">
        <v>310.11441898213354</v>
      </c>
    </row>
    <row r="37" spans="1:21" x14ac:dyDescent="0.35">
      <c r="O37" s="18">
        <v>5</v>
      </c>
      <c r="P37" s="18">
        <f t="shared" si="9"/>
        <v>175</v>
      </c>
      <c r="Q37" s="3">
        <f t="shared" si="13"/>
        <v>1.9535826006626068E-4</v>
      </c>
      <c r="R37" s="3">
        <f t="shared" si="1"/>
        <v>9.767913003313033E-4</v>
      </c>
      <c r="S37" s="3">
        <f t="shared" si="10"/>
        <v>5.1571562594084165E-2</v>
      </c>
      <c r="T37" s="20">
        <f t="shared" si="11"/>
        <v>3.9071652013252138</v>
      </c>
      <c r="U37" s="20">
        <v>309.81018675416607</v>
      </c>
    </row>
    <row r="38" spans="1:21" x14ac:dyDescent="0.35">
      <c r="O38" s="18">
        <v>5</v>
      </c>
      <c r="P38" s="18">
        <f t="shared" si="9"/>
        <v>180</v>
      </c>
      <c r="Q38" s="3">
        <f t="shared" si="13"/>
        <v>1.9254492013482928E-4</v>
      </c>
      <c r="R38" s="3">
        <f t="shared" si="1"/>
        <v>9.6272460067414636E-4</v>
      </c>
      <c r="S38" s="3">
        <f t="shared" si="10"/>
        <v>5.2548353894415471E-2</v>
      </c>
      <c r="T38" s="20">
        <f t="shared" si="11"/>
        <v>3.8508984026965853</v>
      </c>
      <c r="U38" s="20">
        <v>309.51607821473254</v>
      </c>
    </row>
    <row r="39" spans="1:21" x14ac:dyDescent="0.35">
      <c r="O39" s="18">
        <v>5</v>
      </c>
      <c r="P39" s="18">
        <f t="shared" si="9"/>
        <v>185</v>
      </c>
      <c r="Q39" s="3">
        <f t="shared" si="13"/>
        <v>1.8982405010322767E-4</v>
      </c>
      <c r="R39" s="3">
        <f t="shared" si="1"/>
        <v>9.4912025051613834E-4</v>
      </c>
      <c r="S39" s="3">
        <f t="shared" si="10"/>
        <v>5.3511078495089619E-2</v>
      </c>
      <c r="T39" s="20">
        <f t="shared" si="11"/>
        <v>3.7964810020645534</v>
      </c>
      <c r="U39" s="20">
        <v>309.23154641360105</v>
      </c>
    </row>
    <row r="40" spans="1:21" x14ac:dyDescent="0.35">
      <c r="O40" s="18">
        <v>5</v>
      </c>
      <c r="P40" s="18">
        <f t="shared" si="9"/>
        <v>190</v>
      </c>
      <c r="Q40" s="3">
        <f t="shared" si="13"/>
        <v>1.8719072297631415E-4</v>
      </c>
      <c r="R40" s="3">
        <f t="shared" si="1"/>
        <v>9.3595361488157079E-4</v>
      </c>
      <c r="S40" s="3">
        <f t="shared" si="10"/>
        <v>5.4460198745605759E-2</v>
      </c>
      <c r="T40" s="20">
        <f t="shared" si="11"/>
        <v>3.7438144595262832</v>
      </c>
      <c r="U40" s="20">
        <v>308.95608583779159</v>
      </c>
    </row>
    <row r="41" spans="1:21" x14ac:dyDescent="0.35">
      <c r="O41" s="18">
        <v>5</v>
      </c>
      <c r="P41" s="18">
        <f t="shared" si="9"/>
        <v>195</v>
      </c>
      <c r="Q41" s="3">
        <f t="shared" si="13"/>
        <v>1.8464037185523372E-4</v>
      </c>
      <c r="R41" s="3">
        <f t="shared" si="1"/>
        <v>9.2320185927616857E-4</v>
      </c>
      <c r="S41" s="3">
        <f t="shared" si="10"/>
        <v>5.5396152360487332E-2</v>
      </c>
      <c r="T41" s="20">
        <f t="shared" si="11"/>
        <v>3.6928074371046744</v>
      </c>
      <c r="U41" s="20">
        <v>308.68922737247908</v>
      </c>
    </row>
    <row r="42" spans="1:21" x14ac:dyDescent="0.35">
      <c r="O42" s="18">
        <v>5</v>
      </c>
      <c r="P42" s="18">
        <f t="shared" si="9"/>
        <v>200</v>
      </c>
      <c r="Q42" s="3">
        <f t="shared" si="13"/>
        <v>1.8216875676266419E-4</v>
      </c>
      <c r="R42" s="3">
        <f t="shared" si="1"/>
        <v>9.1084378381332094E-4</v>
      </c>
      <c r="S42" s="3">
        <f t="shared" si="10"/>
        <v>5.6319354219763501E-2</v>
      </c>
      <c r="T42" s="20">
        <f t="shared" si="11"/>
        <v>3.6433751352532835</v>
      </c>
      <c r="U42" s="20">
        <v>308.43053514942534</v>
      </c>
    </row>
    <row r="43" spans="1:21" x14ac:dyDescent="0.35">
      <c r="O43" s="18">
        <v>5</v>
      </c>
      <c r="P43" s="18">
        <f t="shared" si="9"/>
        <v>205</v>
      </c>
      <c r="Q43" s="3">
        <f t="shared" si="13"/>
        <v>1.7977193513155025E-4</v>
      </c>
      <c r="R43" s="3">
        <f t="shared" si="1"/>
        <v>8.9885967565775122E-4</v>
      </c>
      <c r="S43" s="3">
        <f t="shared" si="10"/>
        <v>5.7230198003576822E-2</v>
      </c>
      <c r="T43" s="20">
        <f t="shared" si="11"/>
        <v>3.5954387026310046</v>
      </c>
      <c r="U43" s="20">
        <v>308.17960332725715</v>
      </c>
    </row>
    <row r="44" spans="1:21" x14ac:dyDescent="0.35">
      <c r="O44" s="18">
        <v>5</v>
      </c>
      <c r="P44" s="18">
        <f t="shared" si="9"/>
        <v>210</v>
      </c>
      <c r="Q44" s="3">
        <f t="shared" si="13"/>
        <v>1.7744623548829162E-4</v>
      </c>
      <c r="R44" s="3">
        <f t="shared" si="1"/>
        <v>8.8723117744145806E-4</v>
      </c>
      <c r="S44" s="3">
        <f t="shared" si="10"/>
        <v>5.8129057679234576E-2</v>
      </c>
      <c r="T44" s="20">
        <f t="shared" si="11"/>
        <v>3.5489247097658323</v>
      </c>
      <c r="U44" s="20">
        <v>307.93605453641379</v>
      </c>
    </row>
    <row r="45" spans="1:21" x14ac:dyDescent="0.35">
      <c r="O45" s="18">
        <v>5</v>
      </c>
      <c r="P45" s="18">
        <f t="shared" si="9"/>
        <v>215</v>
      </c>
      <c r="Q45" s="3">
        <f t="shared" si="13"/>
        <v>1.7518823392934476E-4</v>
      </c>
      <c r="R45" s="3">
        <f t="shared" si="1"/>
        <v>8.7594116964672384E-4</v>
      </c>
      <c r="S45" s="3">
        <f t="shared" si="10"/>
        <v>5.9016288856676036E-2</v>
      </c>
      <c r="T45" s="20">
        <f t="shared" si="11"/>
        <v>3.503764678586895</v>
      </c>
      <c r="U45" s="20">
        <v>307.69953545143579</v>
      </c>
    </row>
    <row r="46" spans="1:21" x14ac:dyDescent="0.35">
      <c r="O46" s="18">
        <v>5</v>
      </c>
      <c r="P46" s="18">
        <f t="shared" si="9"/>
        <v>220</v>
      </c>
      <c r="Q46" s="3">
        <f t="shared" si="13"/>
        <v>1.7299473304722279E-4</v>
      </c>
      <c r="R46" s="3">
        <f t="shared" si="1"/>
        <v>8.6497366523611403E-4</v>
      </c>
      <c r="S46" s="3">
        <f t="shared" si="10"/>
        <v>5.9892230026322761E-2</v>
      </c>
      <c r="T46" s="20">
        <f t="shared" si="11"/>
        <v>3.4598946609444559</v>
      </c>
      <c r="U46" s="20">
        <v>307.4697171919475</v>
      </c>
    </row>
    <row r="47" spans="1:21" x14ac:dyDescent="0.35">
      <c r="O47" s="18">
        <v>5</v>
      </c>
      <c r="P47" s="18">
        <f t="shared" si="9"/>
        <v>225</v>
      </c>
      <c r="Q47" s="3">
        <f t="shared" si="13"/>
        <v>1.7086274300988306E-4</v>
      </c>
      <c r="R47" s="3">
        <f t="shared" si="1"/>
        <v>8.5431371504941529E-4</v>
      </c>
      <c r="S47" s="3">
        <f t="shared" si="10"/>
        <v>6.0757203691558875E-2</v>
      </c>
      <c r="T47" s="20">
        <f t="shared" si="11"/>
        <v>3.4172548601976618</v>
      </c>
      <c r="U47" s="20">
        <v>307.24629137086879</v>
      </c>
    </row>
    <row r="48" spans="1:21" x14ac:dyDescent="0.35">
      <c r="O48" s="18">
        <v>5</v>
      </c>
      <c r="P48" s="18">
        <f t="shared" si="9"/>
        <v>230</v>
      </c>
      <c r="Q48" s="3">
        <f t="shared" si="13"/>
        <v>1.6878946453803648E-4</v>
      </c>
      <c r="R48" s="3">
        <f t="shared" si="1"/>
        <v>8.4394732269018236E-4</v>
      </c>
      <c r="S48" s="3">
        <f t="shared" si="10"/>
        <v>6.1611517406608293E-2</v>
      </c>
      <c r="T48" s="20">
        <f t="shared" si="11"/>
        <v>3.3757892907607294</v>
      </c>
      <c r="U48" s="20">
        <v>307.02896929386077</v>
      </c>
    </row>
    <row r="49" spans="15:21" x14ac:dyDescent="0.35">
      <c r="O49" s="18">
        <v>5</v>
      </c>
      <c r="P49" s="18">
        <f t="shared" si="9"/>
        <v>235</v>
      </c>
      <c r="Q49" s="3">
        <f t="shared" si="13"/>
        <v>1.667722735592765E-4</v>
      </c>
      <c r="R49" s="3">
        <f t="shared" si="1"/>
        <v>8.3386136779638252E-4</v>
      </c>
      <c r="S49" s="3">
        <f t="shared" si="10"/>
        <v>6.2455464729298478E-2</v>
      </c>
      <c r="T49" s="20">
        <f t="shared" si="11"/>
        <v>3.3354454711855297</v>
      </c>
      <c r="U49" s="20">
        <v>306.81748035459731</v>
      </c>
    </row>
    <row r="50" spans="15:21" x14ac:dyDescent="0.35">
      <c r="O50" s="18">
        <v>5</v>
      </c>
      <c r="P50" s="18">
        <f t="shared" si="9"/>
        <v>240</v>
      </c>
      <c r="Q50" s="3">
        <f t="shared" si="13"/>
        <v>1.648087073471372E-4</v>
      </c>
      <c r="R50" s="3">
        <f t="shared" si="1"/>
        <v>8.2404353673568606E-4</v>
      </c>
      <c r="S50" s="3">
        <f t="shared" si="10"/>
        <v>6.3289326097094867E-2</v>
      </c>
      <c r="T50" s="20">
        <f t="shared" si="11"/>
        <v>3.2961741469427439</v>
      </c>
      <c r="U50" s="20">
        <v>306.6115697289805</v>
      </c>
    </row>
    <row r="51" spans="15:21" x14ac:dyDescent="0.35">
      <c r="O51" s="18">
        <v>5</v>
      </c>
      <c r="P51" s="18">
        <f t="shared" si="9"/>
        <v>245</v>
      </c>
      <c r="Q51" s="3">
        <f t="shared" si="13"/>
        <v>1.6289645197810416E-4</v>
      </c>
      <c r="R51" s="3">
        <f t="shared" si="1"/>
        <v>8.1448225989052083E-4</v>
      </c>
      <c r="S51" s="3">
        <f t="shared" si="10"/>
        <v>6.4113369633830547E-2</v>
      </c>
      <c r="T51" s="20">
        <f t="shared" si="11"/>
        <v>3.2579290395620832</v>
      </c>
      <c r="U51" s="20">
        <v>306.41099904715804</v>
      </c>
    </row>
    <row r="52" spans="15:21" x14ac:dyDescent="0.35">
      <c r="O52" s="18">
        <v>5</v>
      </c>
      <c r="P52" s="18">
        <f t="shared" si="9"/>
        <v>250</v>
      </c>
      <c r="Q52" s="3">
        <f t="shared" si="13"/>
        <v>1.6103333096090865E-4</v>
      </c>
      <c r="R52" s="3">
        <f t="shared" si="1"/>
        <v>8.0516665480454322E-4</v>
      </c>
      <c r="S52" s="3">
        <f t="shared" si="10"/>
        <v>6.4927851893721064E-2</v>
      </c>
      <c r="T52" s="20">
        <f t="shared" si="11"/>
        <v>3.2206666192181728</v>
      </c>
      <c r="U52" s="20">
        <v>306.21554300188541</v>
      </c>
    </row>
    <row r="53" spans="15:21" x14ac:dyDescent="0.35">
      <c r="O53" s="18">
        <v>5</v>
      </c>
      <c r="P53" s="18">
        <f t="shared" si="9"/>
        <v>255</v>
      </c>
      <c r="Q53" s="3">
        <f t="shared" si="13"/>
        <v>1.5921729491071135E-4</v>
      </c>
      <c r="R53" s="3">
        <f t="shared" si="1"/>
        <v>7.9608647455355671E-4</v>
      </c>
      <c r="S53" s="3">
        <f t="shared" si="10"/>
        <v>6.5733018548525604E-2</v>
      </c>
      <c r="T53" s="20">
        <f t="shared" si="11"/>
        <v>3.184345898214227</v>
      </c>
      <c r="U53" s="20">
        <v>306.02499004311983</v>
      </c>
    </row>
    <row r="54" spans="15:21" x14ac:dyDescent="0.35">
      <c r="O54" s="18">
        <v>5</v>
      </c>
      <c r="P54" s="18">
        <f t="shared" si="9"/>
        <v>260</v>
      </c>
      <c r="Q54" s="3">
        <f t="shared" si="13"/>
        <v>1.5744641215650234E-4</v>
      </c>
      <c r="R54" s="3">
        <f t="shared" si="1"/>
        <v>7.8723206078251174E-4</v>
      </c>
      <c r="S54" s="3">
        <f t="shared" si="10"/>
        <v>6.6529105023079155E-2</v>
      </c>
      <c r="T54" s="20">
        <f t="shared" si="11"/>
        <v>3.1489282431300465</v>
      </c>
      <c r="U54" s="20">
        <v>305.83914024129609</v>
      </c>
    </row>
    <row r="55" spans="15:21" x14ac:dyDescent="0.35">
      <c r="O55" s="18">
        <v>5</v>
      </c>
      <c r="P55" s="18">
        <f t="shared" si="9"/>
        <v>265</v>
      </c>
      <c r="Q55" s="3">
        <f t="shared" si="13"/>
        <v>1.5571886018359894E-4</v>
      </c>
      <c r="R55" s="3">
        <f t="shared" si="1"/>
        <v>7.785943009179947E-4</v>
      </c>
      <c r="S55" s="3">
        <f t="shared" si="10"/>
        <v>6.7316337083861671E-2</v>
      </c>
      <c r="T55" s="20">
        <f t="shared" si="11"/>
        <v>3.1143772036719786</v>
      </c>
      <c r="U55" s="20">
        <v>305.65780503306695</v>
      </c>
    </row>
    <row r="56" spans="15:21" x14ac:dyDescent="0.35">
      <c r="O56" s="18">
        <v>5</v>
      </c>
      <c r="P56" s="18">
        <f t="shared" si="9"/>
        <v>270</v>
      </c>
      <c r="Q56" s="3">
        <f t="shared" si="13"/>
        <v>1.5403291782484113E-4</v>
      </c>
      <c r="R56" s="3">
        <f t="shared" si="1"/>
        <v>7.7016458912420563E-4</v>
      </c>
      <c r="S56" s="3">
        <f t="shared" si="10"/>
        <v>6.8094931384779664E-2</v>
      </c>
      <c r="T56" s="20">
        <f t="shared" si="11"/>
        <v>3.0806583564968228</v>
      </c>
      <c r="U56" s="20">
        <v>305.48080636536667</v>
      </c>
    </row>
    <row r="57" spans="15:21" x14ac:dyDescent="0.35">
      <c r="O57" s="18">
        <v>5</v>
      </c>
      <c r="P57" s="18">
        <f t="shared" si="9"/>
        <v>275</v>
      </c>
      <c r="Q57" s="3">
        <f t="shared" si="13"/>
        <v>1.5238695812424454E-4</v>
      </c>
      <c r="R57" s="3">
        <f t="shared" si="1"/>
        <v>7.6193479062122271E-4</v>
      </c>
      <c r="S57" s="3">
        <f t="shared" si="10"/>
        <v>6.8865095973903875E-2</v>
      </c>
      <c r="T57" s="20">
        <f t="shared" si="11"/>
        <v>3.0477391624848913</v>
      </c>
      <c r="U57" s="20">
        <v>305.30797587869051</v>
      </c>
    </row>
    <row r="58" spans="15:21" x14ac:dyDescent="0.35">
      <c r="O58" s="18">
        <v>5</v>
      </c>
      <c r="P58" s="18">
        <f t="shared" si="9"/>
        <v>280</v>
      </c>
      <c r="Q58" s="3">
        <f t="shared" si="13"/>
        <v>1.5077944180569232E-4</v>
      </c>
      <c r="R58" s="3">
        <f t="shared" si="1"/>
        <v>7.5389720902846154E-4</v>
      </c>
      <c r="S58" s="3">
        <f t="shared" si="10"/>
        <v>6.9627030764525102E-2</v>
      </c>
      <c r="T58" s="20">
        <f t="shared" si="11"/>
        <v>3.0155888361138463</v>
      </c>
      <c r="U58" s="20">
        <v>305.13915386450009</v>
      </c>
    </row>
    <row r="59" spans="15:21" x14ac:dyDescent="0.35">
      <c r="O59" s="18">
        <v>5</v>
      </c>
      <c r="P59" s="18">
        <f t="shared" si="9"/>
        <v>285</v>
      </c>
      <c r="Q59" s="3">
        <f t="shared" si="13"/>
        <v>1.4920891128693305E-4</v>
      </c>
      <c r="R59" s="3">
        <f t="shared" si="1"/>
        <v>7.4604455643466523E-4</v>
      </c>
      <c r="S59" s="3">
        <f t="shared" si="10"/>
        <v>7.0380927973553567E-2</v>
      </c>
      <c r="T59" s="20">
        <f t="shared" si="11"/>
        <v>2.9841782257386611</v>
      </c>
      <c r="U59" s="20">
        <v>304.97418940476746</v>
      </c>
    </row>
    <row r="60" spans="15:21" x14ac:dyDescent="0.35">
      <c r="O60" s="18">
        <v>5</v>
      </c>
      <c r="P60" s="18">
        <f t="shared" si="9"/>
        <v>290</v>
      </c>
      <c r="Q60" s="3">
        <f t="shared" si="13"/>
        <v>1.4767398518585677E-4</v>
      </c>
      <c r="R60" s="3">
        <f t="shared" si="1"/>
        <v>7.3836992592928388E-4</v>
      </c>
      <c r="S60" s="3">
        <f t="shared" si="10"/>
        <v>7.112697252998823E-2</v>
      </c>
      <c r="T60" s="20">
        <f t="shared" si="11"/>
        <v>2.9534797037171354</v>
      </c>
      <c r="U60" s="20">
        <v>304.81293949046494</v>
      </c>
    </row>
    <row r="61" spans="15:21" x14ac:dyDescent="0.35">
      <c r="O61" s="18">
        <v>5</v>
      </c>
      <c r="P61" s="18">
        <f t="shared" si="9"/>
        <v>295</v>
      </c>
      <c r="Q61" s="3">
        <f t="shared" si="13"/>
        <v>1.4617335327188628E-4</v>
      </c>
      <c r="R61" s="3">
        <f t="shared" si="1"/>
        <v>7.3086676635943136E-4</v>
      </c>
      <c r="S61" s="3">
        <f t="shared" si="10"/>
        <v>7.1865342455917511E-2</v>
      </c>
      <c r="T61" s="20">
        <f t="shared" si="11"/>
        <v>2.9234670654377255</v>
      </c>
      <c r="U61" s="20">
        <v>304.65526840557698</v>
      </c>
    </row>
    <row r="62" spans="15:21" x14ac:dyDescent="0.35">
      <c r="O62" s="18">
        <v>5</v>
      </c>
      <c r="P62" s="18">
        <f t="shared" si="9"/>
        <v>300</v>
      </c>
      <c r="Q62" s="3">
        <f t="shared" si="13"/>
        <v>1.4470577182046089E-4</v>
      </c>
      <c r="R62" s="3">
        <f t="shared" si="1"/>
        <v>7.2352885910230446E-4</v>
      </c>
      <c r="S62" s="3">
        <f t="shared" si="10"/>
        <v>7.2596209222276942E-2</v>
      </c>
      <c r="T62" s="20">
        <f t="shared" si="11"/>
        <v>2.8941154364092183</v>
      </c>
      <c r="U62" s="20">
        <v>304.50104661439786</v>
      </c>
    </row>
    <row r="63" spans="15:21" x14ac:dyDescent="0.35">
      <c r="O63" s="18">
        <v>5</v>
      </c>
      <c r="P63" s="18">
        <f t="shared" si="9"/>
        <v>305</v>
      </c>
      <c r="Q63" s="3">
        <f t="shared" si="13"/>
        <v>1.4327005933310408E-4</v>
      </c>
      <c r="R63" s="3">
        <f t="shared" si="1"/>
        <v>7.1635029666552042E-4</v>
      </c>
      <c r="S63" s="3">
        <f t="shared" si="10"/>
        <v>7.3319738081379246E-2</v>
      </c>
      <c r="T63" s="20">
        <f t="shared" si="11"/>
        <v>2.8654011866620821</v>
      </c>
      <c r="U63" s="20">
        <v>304.3501521531731</v>
      </c>
    </row>
    <row r="64" spans="15:21" x14ac:dyDescent="0.35">
      <c r="O64" s="18">
        <v>5</v>
      </c>
      <c r="P64" s="18">
        <f t="shared" si="9"/>
        <v>310</v>
      </c>
      <c r="Q64" s="3">
        <f t="shared" si="13"/>
        <v>1.4186509258953857E-4</v>
      </c>
      <c r="R64" s="3">
        <f t="shared" si="1"/>
        <v>7.0932546294769289E-4</v>
      </c>
      <c r="S64" s="3">
        <f t="shared" si="10"/>
        <v>7.4036088378044762E-2</v>
      </c>
      <c r="T64" s="20">
        <f t="shared" si="11"/>
        <v>2.8373018517907713</v>
      </c>
      <c r="U64" s="20">
        <v>304.20246805227629</v>
      </c>
    </row>
    <row r="65" spans="15:21" x14ac:dyDescent="0.35">
      <c r="O65" s="18">
        <v>5</v>
      </c>
      <c r="P65" s="18">
        <f t="shared" si="9"/>
        <v>315</v>
      </c>
      <c r="Q65" s="3">
        <f t="shared" si="13"/>
        <v>1.4048980300181358E-4</v>
      </c>
      <c r="R65" s="3">
        <f t="shared" si="1"/>
        <v>7.0244901500906795E-4</v>
      </c>
      <c r="S65" s="3">
        <f t="shared" si="10"/>
        <v>7.4745413840992453E-2</v>
      </c>
      <c r="T65" s="20">
        <f t="shared" si="11"/>
        <v>2.8097960600362715</v>
      </c>
      <c r="U65" s="20">
        <v>304.05788375746027</v>
      </c>
    </row>
    <row r="66" spans="15:21" x14ac:dyDescent="0.35">
      <c r="O66" s="18">
        <v>5</v>
      </c>
      <c r="P66" s="18">
        <f t="shared" si="9"/>
        <v>320</v>
      </c>
      <c r="Q66" s="3">
        <f t="shared" si="13"/>
        <v>1.3914317324350309E-4</v>
      </c>
      <c r="R66" s="3">
        <f t="shared" ref="R66:R129" si="15">Q66*O66</f>
        <v>6.9571586621751543E-4</v>
      </c>
      <c r="S66" s="3">
        <f t="shared" si="10"/>
        <v>7.5447862856001524E-2</v>
      </c>
      <c r="T66" s="20">
        <f t="shared" si="11"/>
        <v>2.7828634648700614</v>
      </c>
      <c r="U66" s="20">
        <v>303.91629318386998</v>
      </c>
    </row>
    <row r="67" spans="15:21" x14ac:dyDescent="0.35">
      <c r="O67" s="18">
        <v>5</v>
      </c>
      <c r="P67" s="18">
        <f t="shared" ref="P67:P130" si="16">O67+P66</f>
        <v>325</v>
      </c>
      <c r="Q67" s="3">
        <f t="shared" si="13"/>
        <v>1.3782423412976913E-4</v>
      </c>
      <c r="R67" s="3">
        <f t="shared" si="15"/>
        <v>6.8912117064884564E-4</v>
      </c>
      <c r="S67" s="3">
        <f t="shared" ref="S67:S130" si="17">S66+R66</f>
        <v>7.6143578722219038E-2</v>
      </c>
      <c r="T67" s="20">
        <f t="shared" ref="T67:T130" si="18">Q67*$B$9*$B$2*0.5/$B$11</f>
        <v>2.7564846825953824</v>
      </c>
      <c r="U67" s="20">
        <v>303.77759615333423</v>
      </c>
    </row>
    <row r="68" spans="15:21" x14ac:dyDescent="0.35">
      <c r="O68" s="18">
        <v>5</v>
      </c>
      <c r="P68" s="18">
        <f t="shared" si="16"/>
        <v>330</v>
      </c>
      <c r="Q68" s="3">
        <f t="shared" ref="Q68:Q131" si="19">$T$2*(1-(S68/$B$12))/($B$9*((0.5*$B$2/$B$11)+(S68/$B$10)))</f>
        <v>1.365320617265119E-4</v>
      </c>
      <c r="R68" s="3">
        <f t="shared" si="15"/>
        <v>6.8266030863255948E-4</v>
      </c>
      <c r="S68" s="3">
        <f t="shared" si="17"/>
        <v>7.6832699892867881E-2</v>
      </c>
      <c r="T68" s="20">
        <f t="shared" si="18"/>
        <v>2.7306412345302378</v>
      </c>
      <c r="U68" s="20">
        <v>303.64169629318701</v>
      </c>
    </row>
    <row r="69" spans="15:21" x14ac:dyDescent="0.35">
      <c r="O69" s="18">
        <v>5</v>
      </c>
      <c r="P69" s="18">
        <f t="shared" si="16"/>
        <v>335</v>
      </c>
      <c r="Q69" s="3">
        <f t="shared" si="19"/>
        <v>1.3526577466897971E-4</v>
      </c>
      <c r="R69" s="3">
        <f t="shared" si="15"/>
        <v>6.7632887334489848E-4</v>
      </c>
      <c r="S69" s="3">
        <f t="shared" si="17"/>
        <v>7.7515360201500447E-2</v>
      </c>
      <c r="T69" s="20">
        <f t="shared" si="18"/>
        <v>2.7053154933795942</v>
      </c>
      <c r="U69" s="20">
        <v>303.50850219481094</v>
      </c>
    </row>
    <row r="70" spans="15:21" x14ac:dyDescent="0.35">
      <c r="O70" s="18">
        <v>5</v>
      </c>
      <c r="P70" s="18">
        <f t="shared" si="16"/>
        <v>340</v>
      </c>
      <c r="Q70" s="3">
        <f t="shared" si="19"/>
        <v>1.3402453167213002E-4</v>
      </c>
      <c r="R70" s="3">
        <f t="shared" si="15"/>
        <v>6.7012265836065006E-4</v>
      </c>
      <c r="S70" s="3">
        <f t="shared" si="17"/>
        <v>7.8191689074845347E-2</v>
      </c>
      <c r="T70" s="20">
        <f t="shared" si="18"/>
        <v>2.6804906334426004</v>
      </c>
      <c r="U70" s="20">
        <v>303.37792652286453</v>
      </c>
    </row>
    <row r="71" spans="15:21" x14ac:dyDescent="0.35">
      <c r="O71" s="18">
        <v>5</v>
      </c>
      <c r="P71" s="18">
        <f t="shared" si="16"/>
        <v>345</v>
      </c>
      <c r="Q71" s="3">
        <f t="shared" si="19"/>
        <v>1.3280752921673674E-4</v>
      </c>
      <c r="R71" s="3">
        <f t="shared" si="15"/>
        <v>6.6403764608368365E-4</v>
      </c>
      <c r="S71" s="3">
        <f t="shared" si="17"/>
        <v>7.8861811733206E-2</v>
      </c>
      <c r="T71" s="20">
        <f t="shared" si="18"/>
        <v>2.6561505843347346</v>
      </c>
      <c r="U71" s="20">
        <v>303.24988553621091</v>
      </c>
    </row>
    <row r="72" spans="15:21" x14ac:dyDescent="0.35">
      <c r="O72" s="18">
        <v>5</v>
      </c>
      <c r="P72" s="18">
        <f t="shared" si="16"/>
        <v>350</v>
      </c>
      <c r="Q72" s="3">
        <f t="shared" si="19"/>
        <v>1.3161399939676276E-4</v>
      </c>
      <c r="R72" s="3">
        <f t="shared" si="15"/>
        <v>6.5806999698381382E-4</v>
      </c>
      <c r="S72" s="3">
        <f t="shared" si="17"/>
        <v>7.9525849379289679E-2</v>
      </c>
      <c r="T72" s="20">
        <f t="shared" si="18"/>
        <v>2.632279987935255</v>
      </c>
      <c r="U72" s="20">
        <v>303.12429937418767</v>
      </c>
    </row>
    <row r="73" spans="15:21" x14ac:dyDescent="0.35">
      <c r="O73" s="18">
        <v>5</v>
      </c>
      <c r="P73" s="18">
        <f t="shared" si="16"/>
        <v>355</v>
      </c>
      <c r="Q73" s="3">
        <f t="shared" si="19"/>
        <v>1.3044320791487553E-4</v>
      </c>
      <c r="R73" s="3">
        <f t="shared" si="15"/>
        <v>6.5221603957437758E-4</v>
      </c>
      <c r="S73" s="3">
        <f t="shared" si="17"/>
        <v>8.0183919376273491E-2</v>
      </c>
      <c r="T73" s="20">
        <f t="shared" si="18"/>
        <v>2.6088641582975103</v>
      </c>
      <c r="U73" s="20">
        <v>303.00109191936843</v>
      </c>
    </row>
    <row r="74" spans="15:21" x14ac:dyDescent="0.35">
      <c r="O74" s="18">
        <v>5</v>
      </c>
      <c r="P74" s="18">
        <f t="shared" si="16"/>
        <v>360</v>
      </c>
      <c r="Q74" s="3">
        <f t="shared" si="19"/>
        <v>1.2929445221420194E-4</v>
      </c>
      <c r="R74" s="3">
        <f t="shared" si="15"/>
        <v>6.4647226107100969E-4</v>
      </c>
      <c r="S74" s="3">
        <f t="shared" si="17"/>
        <v>8.0836135415847873E-2</v>
      </c>
      <c r="T74" s="20">
        <f t="shared" si="18"/>
        <v>2.5858890442840385</v>
      </c>
      <c r="U74" s="20">
        <v>302.88018972600935</v>
      </c>
    </row>
    <row r="75" spans="15:21" x14ac:dyDescent="0.35">
      <c r="O75" s="18">
        <v>5</v>
      </c>
      <c r="P75" s="18">
        <f t="shared" si="16"/>
        <v>365</v>
      </c>
      <c r="Q75" s="3">
        <f t="shared" si="19"/>
        <v>1.2816705973550855E-4</v>
      </c>
      <c r="R75" s="3">
        <f t="shared" si="15"/>
        <v>6.4083529867754274E-4</v>
      </c>
      <c r="S75" s="3">
        <f t="shared" si="17"/>
        <v>8.1482607676918881E-2</v>
      </c>
      <c r="T75" s="20">
        <f t="shared" si="18"/>
        <v>2.563341194710171</v>
      </c>
      <c r="U75" s="20">
        <v>302.76152320851656</v>
      </c>
    </row>
    <row r="76" spans="15:21" x14ac:dyDescent="0.35">
      <c r="O76" s="18">
        <v>5</v>
      </c>
      <c r="P76" s="18">
        <f t="shared" si="16"/>
        <v>370</v>
      </c>
      <c r="Q76" s="3">
        <f t="shared" si="19"/>
        <v>1.2706038628997179E-4</v>
      </c>
      <c r="R76" s="3">
        <f t="shared" si="15"/>
        <v>6.3530193144985898E-4</v>
      </c>
      <c r="S76" s="3">
        <f t="shared" si="17"/>
        <v>8.2123442975596428E-2</v>
      </c>
      <c r="T76" s="20">
        <f t="shared" si="18"/>
        <v>2.5412077257994361</v>
      </c>
      <c r="U76" s="20">
        <v>302.64502484048631</v>
      </c>
    </row>
    <row r="77" spans="15:21" x14ac:dyDescent="0.35">
      <c r="O77" s="18">
        <v>5</v>
      </c>
      <c r="P77" s="18">
        <f t="shared" si="16"/>
        <v>375</v>
      </c>
      <c r="Q77" s="3">
        <f t="shared" si="19"/>
        <v>1.2597381453858345E-4</v>
      </c>
      <c r="R77" s="3">
        <f t="shared" si="15"/>
        <v>6.2986907269291725E-4</v>
      </c>
      <c r="S77" s="3">
        <f t="shared" si="17"/>
        <v>8.2758744907046281E-2</v>
      </c>
      <c r="T77" s="20">
        <f t="shared" si="18"/>
        <v>2.519476290771669</v>
      </c>
      <c r="U77" s="20">
        <v>302.53063073481542</v>
      </c>
    </row>
    <row r="78" spans="15:21" x14ac:dyDescent="0.35">
      <c r="O78" s="18">
        <v>5</v>
      </c>
      <c r="P78" s="18">
        <f t="shared" si="16"/>
        <v>380</v>
      </c>
      <c r="Q78" s="3">
        <f t="shared" si="19"/>
        <v>1.2490675257002657E-4</v>
      </c>
      <c r="R78" s="3">
        <f t="shared" si="15"/>
        <v>6.2453376285013292E-4</v>
      </c>
      <c r="S78" s="3">
        <f t="shared" si="17"/>
        <v>8.3388613979739193E-2</v>
      </c>
      <c r="T78" s="20">
        <f t="shared" si="18"/>
        <v>2.4981350514005314</v>
      </c>
      <c r="U78" s="20">
        <v>302.41827907947538</v>
      </c>
    </row>
    <row r="79" spans="15:21" x14ac:dyDescent="0.35">
      <c r="O79" s="18">
        <v>5</v>
      </c>
      <c r="P79" s="18">
        <f t="shared" si="16"/>
        <v>385</v>
      </c>
      <c r="Q79" s="3">
        <f t="shared" si="19"/>
        <v>1.2385863256957137E-4</v>
      </c>
      <c r="R79" s="3">
        <f t="shared" si="15"/>
        <v>6.1929316284785687E-4</v>
      </c>
      <c r="S79" s="3">
        <f t="shared" si="17"/>
        <v>8.401314774258932E-2</v>
      </c>
      <c r="T79" s="20">
        <f t="shared" si="18"/>
        <v>2.4771726513914274</v>
      </c>
      <c r="U79" s="20">
        <v>302.30791073093974</v>
      </c>
    </row>
    <row r="80" spans="15:21" x14ac:dyDescent="0.35">
      <c r="O80" s="18">
        <v>5</v>
      </c>
      <c r="P80" s="18">
        <f t="shared" si="16"/>
        <v>390</v>
      </c>
      <c r="Q80" s="3">
        <f t="shared" si="19"/>
        <v>1.2282890957218342E-4</v>
      </c>
      <c r="R80" s="3">
        <f t="shared" si="15"/>
        <v>6.1414454786091707E-4</v>
      </c>
      <c r="S80" s="3">
        <f t="shared" si="17"/>
        <v>8.4632440905437173E-2</v>
      </c>
      <c r="T80" s="20">
        <f t="shared" si="18"/>
        <v>2.4565781914436684</v>
      </c>
      <c r="U80" s="20">
        <v>302.19946903307465</v>
      </c>
    </row>
    <row r="81" spans="15:21" x14ac:dyDescent="0.35">
      <c r="O81" s="18">
        <v>5</v>
      </c>
      <c r="P81" s="18">
        <f t="shared" si="16"/>
        <v>395</v>
      </c>
      <c r="Q81" s="3">
        <f t="shared" si="19"/>
        <v>1.2181706029361654E-4</v>
      </c>
      <c r="R81" s="3">
        <f t="shared" si="15"/>
        <v>6.0908530146808269E-4</v>
      </c>
      <c r="S81" s="3">
        <f t="shared" si="17"/>
        <v>8.5246585453298093E-2</v>
      </c>
      <c r="T81" s="20">
        <f t="shared" si="18"/>
        <v>2.4363412058723308</v>
      </c>
      <c r="U81" s="20">
        <v>302.09289938032373</v>
      </c>
    </row>
    <row r="82" spans="15:21" x14ac:dyDescent="0.35">
      <c r="O82" s="18">
        <v>5</v>
      </c>
      <c r="P82" s="18">
        <f t="shared" si="16"/>
        <v>400</v>
      </c>
      <c r="Q82" s="3">
        <f t="shared" si="19"/>
        <v>1.208225820337905E-4</v>
      </c>
      <c r="R82" s="3">
        <f t="shared" si="15"/>
        <v>6.0411291016895254E-4</v>
      </c>
      <c r="S82" s="3">
        <f t="shared" si="17"/>
        <v>8.5855670754766175E-2</v>
      </c>
      <c r="T82" s="20">
        <f t="shared" si="18"/>
        <v>2.4164516406758101</v>
      </c>
      <c r="U82" s="20">
        <v>301.98814940591632</v>
      </c>
    </row>
    <row r="83" spans="15:21" x14ac:dyDescent="0.35">
      <c r="O83" s="18">
        <v>5</v>
      </c>
      <c r="P83" s="18">
        <f t="shared" si="16"/>
        <v>405</v>
      </c>
      <c r="Q83" s="3">
        <f t="shared" si="19"/>
        <v>1.198449916472264E-4</v>
      </c>
      <c r="R83" s="3">
        <f t="shared" si="15"/>
        <v>5.9922495823613202E-4</v>
      </c>
      <c r="S83" s="3">
        <f t="shared" si="17"/>
        <v>8.6459783664935133E-2</v>
      </c>
      <c r="T83" s="20">
        <f t="shared" si="18"/>
        <v>2.3968998329445279</v>
      </c>
      <c r="U83" s="20">
        <v>301.8851687232218</v>
      </c>
    </row>
    <row r="84" spans="15:21" x14ac:dyDescent="0.35">
      <c r="O84" s="18">
        <v>5</v>
      </c>
      <c r="P84" s="18">
        <f t="shared" si="16"/>
        <v>410</v>
      </c>
      <c r="Q84" s="3">
        <f t="shared" si="19"/>
        <v>1.1888382457574679E-4</v>
      </c>
      <c r="R84" s="3">
        <f t="shared" si="15"/>
        <v>5.9441912287873399E-4</v>
      </c>
      <c r="S84" s="3">
        <f t="shared" si="17"/>
        <v>8.7059008623171272E-2</v>
      </c>
      <c r="T84" s="20">
        <f t="shared" si="18"/>
        <v>2.3776764915149355</v>
      </c>
      <c r="U84" s="20">
        <v>301.78390894604763</v>
      </c>
    </row>
    <row r="85" spans="15:21" x14ac:dyDescent="0.35">
      <c r="O85" s="18">
        <v>5</v>
      </c>
      <c r="P85" s="18">
        <f t="shared" si="16"/>
        <v>415</v>
      </c>
      <c r="Q85" s="3">
        <f t="shared" si="19"/>
        <v>1.1793863393903641E-4</v>
      </c>
      <c r="R85" s="3">
        <f t="shared" si="15"/>
        <v>5.8969316969518203E-4</v>
      </c>
      <c r="S85" s="3">
        <f t="shared" si="17"/>
        <v>8.7653427746050006E-2</v>
      </c>
      <c r="T85" s="20">
        <f t="shared" si="18"/>
        <v>2.3587726787807282</v>
      </c>
      <c r="U85" s="20">
        <v>301.68432346297885</v>
      </c>
    </row>
    <row r="86" spans="15:21" x14ac:dyDescent="0.35">
      <c r="O86" s="18">
        <v>5</v>
      </c>
      <c r="P86" s="18">
        <f t="shared" si="16"/>
        <v>420</v>
      </c>
      <c r="Q86" s="3">
        <f t="shared" si="19"/>
        <v>1.170089896790166E-4</v>
      </c>
      <c r="R86" s="3">
        <f t="shared" si="15"/>
        <v>5.8504494839508301E-4</v>
      </c>
      <c r="S86" s="3">
        <f t="shared" si="17"/>
        <v>8.8243120915745182E-2</v>
      </c>
      <c r="T86" s="20">
        <f t="shared" si="18"/>
        <v>2.3401797935803317</v>
      </c>
      <c r="U86" s="20">
        <v>301.58636734148047</v>
      </c>
    </row>
    <row r="87" spans="15:21" x14ac:dyDescent="0.35">
      <c r="O87" s="18">
        <v>5</v>
      </c>
      <c r="P87" s="18">
        <f t="shared" si="16"/>
        <v>425</v>
      </c>
      <c r="Q87" s="3">
        <f t="shared" si="19"/>
        <v>1.1609447775430906E-4</v>
      </c>
      <c r="R87" s="3">
        <f t="shared" si="15"/>
        <v>5.8047238877154529E-4</v>
      </c>
      <c r="S87" s="3">
        <f t="shared" si="17"/>
        <v>8.882816586414026E-2</v>
      </c>
      <c r="T87" s="20">
        <f t="shared" si="18"/>
        <v>2.3218895550861811</v>
      </c>
      <c r="U87" s="20">
        <v>301.48999746651191</v>
      </c>
    </row>
    <row r="88" spans="15:21" x14ac:dyDescent="0.35">
      <c r="O88" s="18">
        <v>5</v>
      </c>
      <c r="P88" s="18">
        <f t="shared" si="16"/>
        <v>430</v>
      </c>
      <c r="Q88" s="3">
        <f t="shared" si="19"/>
        <v>1.1519469938135907E-4</v>
      </c>
      <c r="R88" s="3">
        <f t="shared" si="15"/>
        <v>5.7597349690679536E-4</v>
      </c>
      <c r="S88" s="3">
        <f t="shared" si="17"/>
        <v>8.9408638252911801E-2</v>
      </c>
      <c r="T88" s="20">
        <f t="shared" si="18"/>
        <v>2.3038939876271813</v>
      </c>
      <c r="U88" s="20">
        <v>301.39517225811039</v>
      </c>
    </row>
    <row r="89" spans="15:21" x14ac:dyDescent="0.35">
      <c r="O89" s="18">
        <v>5</v>
      </c>
      <c r="P89" s="18">
        <f t="shared" si="16"/>
        <v>435</v>
      </c>
      <c r="Q89" s="3">
        <f t="shared" si="19"/>
        <v>1.1430927031905607E-4</v>
      </c>
      <c r="R89" s="3">
        <f t="shared" si="15"/>
        <v>5.7154635159528038E-4</v>
      </c>
      <c r="S89" s="3">
        <f t="shared" si="17"/>
        <v>8.9984611749818602E-2</v>
      </c>
      <c r="T89" s="20">
        <f t="shared" si="18"/>
        <v>2.2861854063811218</v>
      </c>
      <c r="U89" s="20">
        <v>301.30185162461197</v>
      </c>
    </row>
    <row r="90" spans="15:21" x14ac:dyDescent="0.35">
      <c r="O90" s="18">
        <v>5</v>
      </c>
      <c r="P90" s="18">
        <f t="shared" si="16"/>
        <v>440</v>
      </c>
      <c r="Q90" s="3">
        <f t="shared" si="19"/>
        <v>1.1343782019393579E-4</v>
      </c>
      <c r="R90" s="3">
        <f t="shared" si="15"/>
        <v>5.6718910096967897E-4</v>
      </c>
      <c r="S90" s="3">
        <f t="shared" si="17"/>
        <v>9.0556158101413889E-2</v>
      </c>
      <c r="T90" s="20">
        <f t="shared" si="18"/>
        <v>2.268756403878716</v>
      </c>
      <c r="U90" s="20">
        <v>301.20999694578165</v>
      </c>
    </row>
    <row r="91" spans="15:21" x14ac:dyDescent="0.35">
      <c r="O91" s="18">
        <v>5</v>
      </c>
      <c r="P91" s="18">
        <f t="shared" si="16"/>
        <v>445</v>
      </c>
      <c r="Q91" s="3">
        <f t="shared" si="19"/>
        <v>1.1257999186326902E-4</v>
      </c>
      <c r="R91" s="3">
        <f t="shared" si="15"/>
        <v>5.6289995931634506E-4</v>
      </c>
      <c r="S91" s="3">
        <f t="shared" si="17"/>
        <v>9.1123347202383562E-2</v>
      </c>
      <c r="T91" s="20">
        <f t="shared" si="18"/>
        <v>2.2515998372653803</v>
      </c>
      <c r="U91" s="20">
        <v>301.11957065648267</v>
      </c>
    </row>
    <row r="92" spans="15:21" x14ac:dyDescent="0.35">
      <c r="O92" s="18">
        <v>5</v>
      </c>
      <c r="P92" s="18">
        <f t="shared" si="16"/>
        <v>450</v>
      </c>
      <c r="Q92" s="3">
        <f t="shared" si="19"/>
        <v>1.1173544081354899E-4</v>
      </c>
      <c r="R92" s="3">
        <f t="shared" si="15"/>
        <v>5.5867720406774495E-4</v>
      </c>
      <c r="S92" s="3">
        <f t="shared" si="17"/>
        <v>9.1686247161699902E-2</v>
      </c>
      <c r="T92" s="20">
        <f t="shared" si="18"/>
        <v>2.2347088162709801</v>
      </c>
      <c r="U92" s="20">
        <v>301.03053714377978</v>
      </c>
    </row>
    <row r="93" spans="15:21" x14ac:dyDescent="0.35">
      <c r="O93" s="18">
        <v>5</v>
      </c>
      <c r="P93" s="18">
        <f t="shared" si="16"/>
        <v>455</v>
      </c>
      <c r="Q93" s="3">
        <f t="shared" si="19"/>
        <v>1.1090383459207437E-4</v>
      </c>
      <c r="R93" s="3">
        <f t="shared" si="15"/>
        <v>5.5451917296037189E-4</v>
      </c>
      <c r="S93" s="3">
        <f t="shared" si="17"/>
        <v>9.2244924365767644E-2</v>
      </c>
      <c r="T93" s="20">
        <f t="shared" si="18"/>
        <v>2.2180766918414876</v>
      </c>
      <c r="U93" s="20">
        <v>300.94286156154794</v>
      </c>
    </row>
    <row r="94" spans="15:21" x14ac:dyDescent="0.35">
      <c r="O94" s="18">
        <v>5</v>
      </c>
      <c r="P94" s="18">
        <f t="shared" si="16"/>
        <v>460</v>
      </c>
      <c r="Q94" s="3">
        <f t="shared" si="19"/>
        <v>1.1008485226949654E-4</v>
      </c>
      <c r="R94" s="3">
        <f t="shared" si="15"/>
        <v>5.504242613474827E-4</v>
      </c>
      <c r="S94" s="3">
        <f t="shared" si="17"/>
        <v>9.2799443538728016E-2</v>
      </c>
      <c r="T94" s="20">
        <f t="shared" si="18"/>
        <v>2.2016970453899307</v>
      </c>
      <c r="U94" s="20">
        <v>300.8565104053971</v>
      </c>
    </row>
    <row r="95" spans="15:21" x14ac:dyDescent="0.35">
      <c r="O95" s="18">
        <v>5</v>
      </c>
      <c r="P95" s="18">
        <f t="shared" si="16"/>
        <v>465</v>
      </c>
      <c r="Q95" s="3">
        <f t="shared" si="19"/>
        <v>1.0927818393135755E-4</v>
      </c>
      <c r="R95" s="3">
        <f t="shared" si="15"/>
        <v>5.4639091965678779E-4</v>
      </c>
      <c r="S95" s="3">
        <f t="shared" si="17"/>
        <v>9.3349867800075495E-2</v>
      </c>
      <c r="T95" s="20">
        <f t="shared" si="18"/>
        <v>2.1855636786271511</v>
      </c>
      <c r="U95" s="20">
        <v>300.771451347788</v>
      </c>
    </row>
    <row r="96" spans="15:21" x14ac:dyDescent="0.35">
      <c r="O96" s="18">
        <v>5</v>
      </c>
      <c r="P96" s="18">
        <f t="shared" si="16"/>
        <v>470</v>
      </c>
      <c r="Q96" s="3">
        <f t="shared" si="19"/>
        <v>1.0848353019678705E-4</v>
      </c>
      <c r="R96" s="3">
        <f t="shared" si="15"/>
        <v>5.4241765098393528E-4</v>
      </c>
      <c r="S96" s="3">
        <f t="shared" si="17"/>
        <v>9.3896258719732284E-2</v>
      </c>
      <c r="T96" s="20">
        <f t="shared" si="18"/>
        <v>2.169670603935741</v>
      </c>
      <c r="U96" s="20">
        <v>300.68765297780669</v>
      </c>
    </row>
    <row r="97" spans="15:21" x14ac:dyDescent="0.35">
      <c r="O97" s="18">
        <v>5</v>
      </c>
      <c r="P97" s="18">
        <f t="shared" si="16"/>
        <v>475</v>
      </c>
      <c r="Q97" s="3">
        <f t="shared" si="19"/>
        <v>1.0770060176266086E-4</v>
      </c>
      <c r="R97" s="3">
        <f t="shared" si="15"/>
        <v>5.3850300881330432E-4</v>
      </c>
      <c r="S97" s="3">
        <f t="shared" si="17"/>
        <v>9.4438676370716221E-2</v>
      </c>
      <c r="T97" s="20">
        <f t="shared" si="18"/>
        <v>2.1540120352532175</v>
      </c>
      <c r="U97" s="20">
        <v>300.60508521068158</v>
      </c>
    </row>
    <row r="98" spans="15:21" x14ac:dyDescent="0.35">
      <c r="O98" s="18">
        <v>5</v>
      </c>
      <c r="P98" s="18">
        <f t="shared" si="16"/>
        <v>480</v>
      </c>
      <c r="Q98" s="3">
        <f t="shared" si="19"/>
        <v>1.0692911897164363E-4</v>
      </c>
      <c r="R98" s="3">
        <f t="shared" si="15"/>
        <v>5.3464559485821817E-4</v>
      </c>
      <c r="S98" s="3">
        <f t="shared" si="17"/>
        <v>9.4977179379529528E-2</v>
      </c>
      <c r="T98" s="20">
        <f t="shared" si="18"/>
        <v>2.1385823794328727</v>
      </c>
      <c r="U98" s="20">
        <v>300.52371877606589</v>
      </c>
    </row>
    <row r="99" spans="15:21" x14ac:dyDescent="0.35">
      <c r="O99" s="18">
        <v>5</v>
      </c>
      <c r="P99" s="18">
        <f t="shared" si="16"/>
        <v>485</v>
      </c>
      <c r="Q99" s="3">
        <f t="shared" si="19"/>
        <v>1.0616881140265015E-4</v>
      </c>
      <c r="R99" s="3">
        <f t="shared" si="15"/>
        <v>5.3084405701325072E-4</v>
      </c>
      <c r="S99" s="3">
        <f t="shared" si="17"/>
        <v>9.5511824974387746E-2</v>
      </c>
      <c r="T99" s="20">
        <f t="shared" si="18"/>
        <v>2.1233762280530031</v>
      </c>
      <c r="U99" s="20">
        <v>300.44352549556828</v>
      </c>
    </row>
    <row r="100" spans="15:21" x14ac:dyDescent="0.35">
      <c r="O100" s="18">
        <v>5</v>
      </c>
      <c r="P100" s="18">
        <f t="shared" si="16"/>
        <v>490</v>
      </c>
      <c r="Q100" s="3">
        <f t="shared" si="19"/>
        <v>1.0541941748236342E-4</v>
      </c>
      <c r="R100" s="3">
        <f t="shared" si="15"/>
        <v>5.2709708741181707E-4</v>
      </c>
      <c r="S100" s="3">
        <f t="shared" si="17"/>
        <v>9.604266903140099E-2</v>
      </c>
      <c r="T100" s="20">
        <f t="shared" si="18"/>
        <v>2.1083883496472682</v>
      </c>
      <c r="U100" s="20">
        <v>300.36447788813547</v>
      </c>
    </row>
    <row r="101" spans="15:21" x14ac:dyDescent="0.35">
      <c r="O101" s="18">
        <v>5</v>
      </c>
      <c r="P101" s="18">
        <f t="shared" si="16"/>
        <v>495</v>
      </c>
      <c r="Q101" s="3">
        <f t="shared" si="19"/>
        <v>1.0468068411654081E-4</v>
      </c>
      <c r="R101" s="3">
        <f t="shared" si="15"/>
        <v>5.2340342058270406E-4</v>
      </c>
      <c r="S101" s="3">
        <f t="shared" si="17"/>
        <v>9.6569766118812808E-2</v>
      </c>
      <c r="T101" s="20">
        <f t="shared" si="18"/>
        <v>2.0936136823308162</v>
      </c>
      <c r="U101" s="20">
        <v>300.28654948406319</v>
      </c>
    </row>
    <row r="102" spans="15:21" x14ac:dyDescent="0.35">
      <c r="O102" s="18">
        <v>5</v>
      </c>
      <c r="P102" s="18">
        <f t="shared" si="16"/>
        <v>500</v>
      </c>
      <c r="Q102" s="3">
        <f t="shared" si="19"/>
        <v>1.0395236633992837E-4</v>
      </c>
      <c r="R102" s="3">
        <f t="shared" si="15"/>
        <v>5.1976183169964187E-4</v>
      </c>
      <c r="S102" s="3">
        <f t="shared" si="17"/>
        <v>9.7093169539395507E-2</v>
      </c>
      <c r="T102" s="20">
        <f t="shared" si="18"/>
        <v>2.0790473267985674</v>
      </c>
      <c r="U102" s="20">
        <v>300.20971479705457</v>
      </c>
    </row>
    <row r="103" spans="15:21" x14ac:dyDescent="0.35">
      <c r="O103" s="18">
        <v>5</v>
      </c>
      <c r="P103" s="18">
        <f t="shared" si="16"/>
        <v>505</v>
      </c>
      <c r="Q103" s="3">
        <f t="shared" si="19"/>
        <v>1.0323422698368309E-4</v>
      </c>
      <c r="R103" s="3">
        <f t="shared" si="15"/>
        <v>5.1617113491841547E-4</v>
      </c>
      <c r="S103" s="3">
        <f t="shared" si="17"/>
        <v>9.7612931371095155E-2</v>
      </c>
      <c r="T103" s="20">
        <f t="shared" si="18"/>
        <v>2.0646845396736619</v>
      </c>
      <c r="U103" s="20">
        <v>300.13394898541515</v>
      </c>
    </row>
    <row r="104" spans="15:21" x14ac:dyDescent="0.35">
      <c r="O104" s="18">
        <v>5</v>
      </c>
      <c r="P104" s="18">
        <f t="shared" si="16"/>
        <v>510</v>
      </c>
      <c r="Q104" s="3">
        <f t="shared" si="19"/>
        <v>1.0252603635927708E-4</v>
      </c>
      <c r="R104" s="3">
        <f t="shared" si="15"/>
        <v>5.1263018179638538E-4</v>
      </c>
      <c r="S104" s="3">
        <f t="shared" si="17"/>
        <v>9.8129102506013574E-2</v>
      </c>
      <c r="T104" s="20">
        <f t="shared" si="18"/>
        <v>2.0505207271855417</v>
      </c>
      <c r="U104" s="20">
        <v>300.0592280648101</v>
      </c>
    </row>
    <row r="105" spans="15:21" x14ac:dyDescent="0.35">
      <c r="O105" s="18">
        <v>5</v>
      </c>
      <c r="P105" s="18">
        <f t="shared" si="16"/>
        <v>515</v>
      </c>
      <c r="Q105" s="3">
        <f t="shared" si="19"/>
        <v>1.0182757195792748E-4</v>
      </c>
      <c r="R105" s="3">
        <f t="shared" si="15"/>
        <v>5.0913785978963738E-4</v>
      </c>
      <c r="S105" s="3">
        <f t="shared" si="17"/>
        <v>9.8641732687809958E-2</v>
      </c>
      <c r="T105" s="20">
        <f t="shared" si="18"/>
        <v>2.0365514391585497</v>
      </c>
      <c r="U105" s="20">
        <v>299.9855286686651</v>
      </c>
    </row>
    <row r="106" spans="15:21" x14ac:dyDescent="0.35">
      <c r="O106" s="18">
        <v>5</v>
      </c>
      <c r="P106" s="18">
        <f t="shared" si="16"/>
        <v>520</v>
      </c>
      <c r="Q106" s="3">
        <f t="shared" si="19"/>
        <v>1.0113861816465814E-4</v>
      </c>
      <c r="R106" s="3">
        <f t="shared" si="15"/>
        <v>5.0569309082329071E-4</v>
      </c>
      <c r="S106" s="3">
        <f t="shared" si="17"/>
        <v>9.9150870547599593E-2</v>
      </c>
      <c r="T106" s="20">
        <f t="shared" si="18"/>
        <v>2.0227723632931629</v>
      </c>
      <c r="U106" s="20">
        <v>299.91282838939918</v>
      </c>
    </row>
    <row r="107" spans="15:21" x14ac:dyDescent="0.35">
      <c r="O107" s="18">
        <v>5</v>
      </c>
      <c r="P107" s="18">
        <f t="shared" si="16"/>
        <v>525</v>
      </c>
      <c r="Q107" s="3">
        <f t="shared" si="19"/>
        <v>1.0045896598615856E-4</v>
      </c>
      <c r="R107" s="3">
        <f t="shared" si="15"/>
        <v>5.0229482993079274E-4</v>
      </c>
      <c r="S107" s="3">
        <f t="shared" si="17"/>
        <v>9.9656563638422888E-2</v>
      </c>
      <c r="T107" s="20">
        <f t="shared" si="18"/>
        <v>2.0091793197231711</v>
      </c>
      <c r="U107" s="20">
        <v>299.84110516600629</v>
      </c>
    </row>
    <row r="108" spans="15:21" x14ac:dyDescent="0.35">
      <c r="O108" s="18">
        <v>5</v>
      </c>
      <c r="P108" s="18">
        <f t="shared" si="16"/>
        <v>530</v>
      </c>
      <c r="Q108" s="3">
        <f t="shared" si="19"/>
        <v>9.9788412791660609E-5</v>
      </c>
      <c r="R108" s="3">
        <f t="shared" si="15"/>
        <v>4.98942063958303E-4</v>
      </c>
      <c r="S108" s="3">
        <f t="shared" si="17"/>
        <v>0.10015885846835368</v>
      </c>
      <c r="T108" s="20">
        <f t="shared" si="18"/>
        <v>1.9957682558332122</v>
      </c>
      <c r="U108" s="20">
        <v>299.77033802716716</v>
      </c>
    </row>
    <row r="109" spans="15:21" x14ac:dyDescent="0.35">
      <c r="O109" s="18">
        <v>5</v>
      </c>
      <c r="P109" s="18">
        <f t="shared" si="16"/>
        <v>535</v>
      </c>
      <c r="Q109" s="3">
        <f t="shared" si="19"/>
        <v>9.9126762066102292E-5</v>
      </c>
      <c r="R109" s="3">
        <f t="shared" si="15"/>
        <v>4.9563381033051145E-4</v>
      </c>
      <c r="S109" s="3">
        <f t="shared" si="17"/>
        <v>0.10065780053231198</v>
      </c>
      <c r="T109" s="20">
        <f t="shared" si="18"/>
        <v>1.9825352413220461</v>
      </c>
      <c r="U109" s="20">
        <v>299.70050618467491</v>
      </c>
    </row>
    <row r="110" spans="15:21" x14ac:dyDescent="0.35">
      <c r="O110" s="18">
        <v>5</v>
      </c>
      <c r="P110" s="18">
        <f t="shared" si="16"/>
        <v>540</v>
      </c>
      <c r="Q110" s="3">
        <f t="shared" si="19"/>
        <v>9.8473823174896727E-5</v>
      </c>
      <c r="R110" s="3">
        <f t="shared" si="15"/>
        <v>4.9236911587448361E-4</v>
      </c>
      <c r="S110" s="3">
        <f t="shared" si="17"/>
        <v>0.10115343434264248</v>
      </c>
      <c r="T110" s="20">
        <f t="shared" si="18"/>
        <v>1.9694764634979347</v>
      </c>
      <c r="U110" s="20">
        <v>299.63158980226291</v>
      </c>
    </row>
    <row r="111" spans="15:21" x14ac:dyDescent="0.35">
      <c r="O111" s="18">
        <v>5</v>
      </c>
      <c r="P111" s="18">
        <f t="shared" si="16"/>
        <v>545</v>
      </c>
      <c r="Q111" s="3">
        <f t="shared" si="19"/>
        <v>9.782941113966634E-5</v>
      </c>
      <c r="R111" s="3">
        <f t="shared" si="15"/>
        <v>4.8914705569833169E-4</v>
      </c>
      <c r="S111" s="3">
        <f t="shared" si="17"/>
        <v>0.10164580345851697</v>
      </c>
      <c r="T111" s="20">
        <f t="shared" si="18"/>
        <v>1.9565882227933267</v>
      </c>
      <c r="U111" s="20">
        <v>299.56356954441605</v>
      </c>
    </row>
    <row r="112" spans="15:21" x14ac:dyDescent="0.35">
      <c r="O112" s="18">
        <v>5</v>
      </c>
      <c r="P112" s="18">
        <f t="shared" si="16"/>
        <v>550</v>
      </c>
      <c r="Q112" s="3">
        <f t="shared" si="19"/>
        <v>9.7193346424343343E-5</v>
      </c>
      <c r="R112" s="3">
        <f t="shared" si="15"/>
        <v>4.8596673212171671E-4</v>
      </c>
      <c r="S112" s="3">
        <f t="shared" si="17"/>
        <v>0.1021349505142153</v>
      </c>
      <c r="T112" s="20">
        <f t="shared" si="18"/>
        <v>1.9438669284868668</v>
      </c>
      <c r="U112" s="20">
        <v>299.49642660764641</v>
      </c>
    </row>
    <row r="113" spans="15:21" x14ac:dyDescent="0.35">
      <c r="O113" s="18">
        <v>5</v>
      </c>
      <c r="P113" s="18">
        <f t="shared" si="16"/>
        <v>555</v>
      </c>
      <c r="Q113" s="3">
        <f t="shared" si="19"/>
        <v>9.6565454731074919E-5</v>
      </c>
      <c r="R113" s="3">
        <f t="shared" si="15"/>
        <v>4.8282727365537458E-4</v>
      </c>
      <c r="S113" s="3">
        <f t="shared" si="17"/>
        <v>0.10262091724633701</v>
      </c>
      <c r="T113" s="20">
        <f t="shared" si="18"/>
        <v>1.9313090946214986</v>
      </c>
      <c r="U113" s="20">
        <v>299.4301427346652</v>
      </c>
    </row>
    <row r="114" spans="15:21" x14ac:dyDescent="0.35">
      <c r="O114" s="18">
        <v>5</v>
      </c>
      <c r="P114" s="18">
        <f t="shared" si="16"/>
        <v>560</v>
      </c>
      <c r="Q114" s="3">
        <f t="shared" si="19"/>
        <v>9.5945566805406054E-5</v>
      </c>
      <c r="R114" s="3">
        <f t="shared" si="15"/>
        <v>4.7972783402703027E-4</v>
      </c>
      <c r="S114" s="3">
        <f t="shared" si="17"/>
        <v>0.10310374451999239</v>
      </c>
      <c r="T114" s="20">
        <f t="shared" si="18"/>
        <v>1.9189113361081209</v>
      </c>
      <c r="U114" s="20">
        <v>299.36470012011898</v>
      </c>
    </row>
    <row r="115" spans="15:21" x14ac:dyDescent="0.35">
      <c r="O115" s="18">
        <v>5</v>
      </c>
      <c r="P115" s="18">
        <f t="shared" si="16"/>
        <v>565</v>
      </c>
      <c r="Q115" s="3">
        <f t="shared" si="19"/>
        <v>9.533351825024589E-5</v>
      </c>
      <c r="R115" s="3">
        <f t="shared" si="15"/>
        <v>4.7666759125122946E-4</v>
      </c>
      <c r="S115" s="3">
        <f t="shared" si="17"/>
        <v>0.10358347235401942</v>
      </c>
      <c r="T115" s="20">
        <f t="shared" si="18"/>
        <v>1.9066703650049179</v>
      </c>
      <c r="U115" s="20">
        <v>299.30008172370714</v>
      </c>
    </row>
    <row r="116" spans="15:21" x14ac:dyDescent="0.35">
      <c r="O116" s="18">
        <v>5</v>
      </c>
      <c r="P116" s="18">
        <f t="shared" si="16"/>
        <v>570</v>
      </c>
      <c r="Q116" s="3">
        <f t="shared" si="19"/>
        <v>9.4729149348153182E-5</v>
      </c>
      <c r="R116" s="3">
        <f t="shared" si="15"/>
        <v>4.7364574674076593E-4</v>
      </c>
      <c r="S116" s="3">
        <f t="shared" si="17"/>
        <v>0.10406013994527065</v>
      </c>
      <c r="T116" s="20">
        <f t="shared" si="18"/>
        <v>1.8945829869630639</v>
      </c>
      <c r="U116" s="20">
        <v>299.23627062639054</v>
      </c>
    </row>
    <row r="117" spans="15:21" x14ac:dyDescent="0.35">
      <c r="O117" s="18">
        <v>5</v>
      </c>
      <c r="P117" s="18">
        <f t="shared" si="16"/>
        <v>575</v>
      </c>
      <c r="Q117" s="3">
        <f t="shared" si="19"/>
        <v>9.4132304891504594E-5</v>
      </c>
      <c r="R117" s="3">
        <f t="shared" si="15"/>
        <v>4.7066152445752297E-4</v>
      </c>
      <c r="S117" s="3">
        <f t="shared" si="17"/>
        <v>0.10453378569201141</v>
      </c>
      <c r="T117" s="20">
        <f t="shared" si="18"/>
        <v>1.8826460978300918</v>
      </c>
      <c r="U117" s="20">
        <v>299.17325072154216</v>
      </c>
    </row>
    <row r="118" spans="15:21" x14ac:dyDescent="0.35">
      <c r="O118" s="18">
        <v>5</v>
      </c>
      <c r="P118" s="18">
        <f t="shared" si="16"/>
        <v>580</v>
      </c>
      <c r="Q118" s="3">
        <f t="shared" si="19"/>
        <v>9.3542834020136082E-5</v>
      </c>
      <c r="R118" s="3">
        <f t="shared" si="15"/>
        <v>4.6771417010068044E-4</v>
      </c>
      <c r="S118" s="3">
        <f t="shared" si="17"/>
        <v>0.10500444721646893</v>
      </c>
      <c r="T118" s="20">
        <f t="shared" si="18"/>
        <v>1.8708566804027216</v>
      </c>
      <c r="U118" s="20">
        <v>299.11100620599711</v>
      </c>
    </row>
    <row r="119" spans="15:21" x14ac:dyDescent="0.35">
      <c r="O119" s="18">
        <v>5</v>
      </c>
      <c r="P119" s="18">
        <f t="shared" si="16"/>
        <v>585</v>
      </c>
      <c r="Q119" s="3">
        <f t="shared" si="19"/>
        <v>9.2960590066071624E-5</v>
      </c>
      <c r="R119" s="3">
        <f t="shared" si="15"/>
        <v>4.6480295033035813E-4</v>
      </c>
      <c r="S119" s="3">
        <f t="shared" si="17"/>
        <v>0.1054721613865696</v>
      </c>
      <c r="T119" s="20">
        <f t="shared" si="18"/>
        <v>1.8592118013214327</v>
      </c>
      <c r="U119" s="20">
        <v>299.04952166675622</v>
      </c>
    </row>
    <row r="120" spans="15:21" x14ac:dyDescent="0.35">
      <c r="O120" s="18">
        <v>5</v>
      </c>
      <c r="P120" s="18">
        <f t="shared" si="16"/>
        <v>590</v>
      </c>
      <c r="Q120" s="3">
        <f t="shared" si="19"/>
        <v>9.238543040497661E-5</v>
      </c>
      <c r="R120" s="3">
        <f t="shared" si="15"/>
        <v>4.6192715202488302E-4</v>
      </c>
      <c r="S120" s="3">
        <f t="shared" si="17"/>
        <v>0.10593696433689996</v>
      </c>
      <c r="T120" s="20">
        <f t="shared" si="18"/>
        <v>1.8477086080995324</v>
      </c>
      <c r="U120" s="20">
        <v>298.98878200674284</v>
      </c>
    </row>
    <row r="121" spans="15:21" x14ac:dyDescent="0.35">
      <c r="O121" s="18">
        <v>5</v>
      </c>
      <c r="P121" s="18">
        <f t="shared" si="16"/>
        <v>595</v>
      </c>
      <c r="Q121" s="3">
        <f t="shared" si="19"/>
        <v>9.1817216313994107E-5</v>
      </c>
      <c r="R121" s="3">
        <f t="shared" si="15"/>
        <v>4.5908608156997055E-4</v>
      </c>
      <c r="S121" s="3">
        <f t="shared" si="17"/>
        <v>0.10639889148892484</v>
      </c>
      <c r="T121" s="20">
        <f t="shared" si="18"/>
        <v>1.836344326279882</v>
      </c>
      <c r="U121" s="20">
        <v>298.9287729529579</v>
      </c>
    </row>
    <row r="122" spans="15:21" x14ac:dyDescent="0.35">
      <c r="O122" s="18">
        <v>5</v>
      </c>
      <c r="P122" s="18">
        <f t="shared" si="16"/>
        <v>600</v>
      </c>
      <c r="Q122" s="3">
        <f t="shared" si="19"/>
        <v>9.1255812835642659E-5</v>
      </c>
      <c r="R122" s="3">
        <f t="shared" si="15"/>
        <v>4.5627906417821328E-4</v>
      </c>
      <c r="S122" s="3">
        <f t="shared" si="17"/>
        <v>0.10685797757049481</v>
      </c>
      <c r="T122" s="20">
        <f t="shared" si="18"/>
        <v>1.8251162567128534</v>
      </c>
      <c r="U122" s="20">
        <v>298.86948025976699</v>
      </c>
    </row>
    <row r="123" spans="15:21" x14ac:dyDescent="0.35">
      <c r="O123" s="18">
        <v>5</v>
      </c>
      <c r="P123" s="18">
        <f t="shared" si="16"/>
        <v>605</v>
      </c>
      <c r="Q123" s="3">
        <f t="shared" si="19"/>
        <v>9.0701088647472295E-5</v>
      </c>
      <c r="R123" s="3">
        <f t="shared" si="15"/>
        <v>4.5350544323736146E-4</v>
      </c>
      <c r="S123" s="3">
        <f t="shared" si="17"/>
        <v>0.10731425663467302</v>
      </c>
      <c r="T123" s="20">
        <f t="shared" si="18"/>
        <v>1.8140217729494461</v>
      </c>
      <c r="U123" s="20">
        <v>298.81089020331268</v>
      </c>
    </row>
    <row r="124" spans="15:21" x14ac:dyDescent="0.35">
      <c r="O124" s="18">
        <v>5</v>
      </c>
      <c r="P124" s="18">
        <f t="shared" si="16"/>
        <v>610</v>
      </c>
      <c r="Q124" s="3">
        <f t="shared" si="19"/>
        <v>9.0152915937193197E-5</v>
      </c>
      <c r="R124" s="3">
        <f t="shared" si="15"/>
        <v>4.5076457968596599E-4</v>
      </c>
      <c r="S124" s="3">
        <f t="shared" si="17"/>
        <v>0.10776776207791038</v>
      </c>
      <c r="T124" s="20">
        <f t="shared" si="18"/>
        <v>1.8030583187438638</v>
      </c>
      <c r="U124" s="20">
        <v>298.75298930225586</v>
      </c>
    </row>
    <row r="125" spans="15:21" x14ac:dyDescent="0.35">
      <c r="O125" s="18">
        <v>5</v>
      </c>
      <c r="P125" s="18">
        <f t="shared" si="16"/>
        <v>615</v>
      </c>
      <c r="Q125" s="3">
        <f t="shared" si="19"/>
        <v>8.9611170283007035E-5</v>
      </c>
      <c r="R125" s="3">
        <f t="shared" si="15"/>
        <v>4.480558514150352E-4</v>
      </c>
      <c r="S125" s="3">
        <f t="shared" si="17"/>
        <v>0.10821852665759635</v>
      </c>
      <c r="T125" s="20">
        <f t="shared" si="18"/>
        <v>1.7922234056601407</v>
      </c>
      <c r="U125" s="20">
        <v>298.69576454835038</v>
      </c>
    </row>
    <row r="126" spans="15:21" x14ac:dyDescent="0.35">
      <c r="O126" s="18">
        <v>5</v>
      </c>
      <c r="P126" s="18">
        <f t="shared" si="16"/>
        <v>620</v>
      </c>
      <c r="Q126" s="3">
        <f t="shared" si="19"/>
        <v>8.9075730538887437E-5</v>
      </c>
      <c r="R126" s="3">
        <f t="shared" si="15"/>
        <v>4.453786526944372E-4</v>
      </c>
      <c r="S126" s="3">
        <f t="shared" si="17"/>
        <v>0.10866658250901139</v>
      </c>
      <c r="T126" s="20">
        <f t="shared" si="18"/>
        <v>1.7815146107777489</v>
      </c>
      <c r="U126" s="20">
        <v>298.63920331111495</v>
      </c>
    </row>
    <row r="127" spans="15:21" x14ac:dyDescent="0.35">
      <c r="O127" s="18">
        <v>5</v>
      </c>
      <c r="P127" s="18">
        <f t="shared" si="16"/>
        <v>625</v>
      </c>
      <c r="Q127" s="3">
        <f t="shared" si="19"/>
        <v>8.8546478724568832E-5</v>
      </c>
      <c r="R127" s="3">
        <f t="shared" si="15"/>
        <v>4.4273239362284416E-4</v>
      </c>
      <c r="S127" s="3">
        <f t="shared" si="17"/>
        <v>0.10911196116170582</v>
      </c>
      <c r="T127" s="20">
        <f t="shared" si="18"/>
        <v>1.7709295744913767</v>
      </c>
      <c r="U127" s="20">
        <v>298.58329317200918</v>
      </c>
    </row>
    <row r="128" spans="15:21" x14ac:dyDescent="0.35">
      <c r="O128" s="18">
        <v>5</v>
      </c>
      <c r="P128" s="18">
        <f t="shared" si="16"/>
        <v>630</v>
      </c>
      <c r="Q128" s="3">
        <f t="shared" si="19"/>
        <v>8.802329992001716E-5</v>
      </c>
      <c r="R128" s="3">
        <f t="shared" si="15"/>
        <v>4.401164996000858E-4</v>
      </c>
      <c r="S128" s="3">
        <f t="shared" si="17"/>
        <v>0.10955469355532867</v>
      </c>
      <c r="T128" s="20">
        <f t="shared" si="18"/>
        <v>1.760465998400343</v>
      </c>
      <c r="U128" s="20">
        <v>298.52802200711938</v>
      </c>
    </row>
    <row r="129" spans="15:21" x14ac:dyDescent="0.35">
      <c r="O129" s="18">
        <v>5</v>
      </c>
      <c r="P129" s="18">
        <f t="shared" si="16"/>
        <v>635</v>
      </c>
      <c r="Q129" s="3">
        <f t="shared" si="19"/>
        <v>8.7506082164168412E-5</v>
      </c>
      <c r="R129" s="3">
        <f t="shared" si="15"/>
        <v>4.3753041082084207E-4</v>
      </c>
      <c r="S129" s="3">
        <f t="shared" si="17"/>
        <v>0.10999481005492875</v>
      </c>
      <c r="T129" s="20">
        <f t="shared" si="18"/>
        <v>1.7501216432833682</v>
      </c>
      <c r="U129" s="20">
        <v>298.47337820367056</v>
      </c>
    </row>
    <row r="130" spans="15:21" x14ac:dyDescent="0.35">
      <c r="O130" s="18">
        <v>5</v>
      </c>
      <c r="P130" s="18">
        <f t="shared" si="16"/>
        <v>640</v>
      </c>
      <c r="Q130" s="3">
        <f t="shared" si="19"/>
        <v>8.6994716357732317E-5</v>
      </c>
      <c r="R130" s="3">
        <f t="shared" ref="R130:R193" si="20">Q130*O130</f>
        <v>4.3497358178866158E-4</v>
      </c>
      <c r="S130" s="3">
        <f t="shared" si="17"/>
        <v>0.1104323404657496</v>
      </c>
      <c r="T130" s="20">
        <f t="shared" si="18"/>
        <v>1.7398943271546465</v>
      </c>
      <c r="U130" s="20">
        <v>298.41935025843526</v>
      </c>
    </row>
    <row r="131" spans="15:21" x14ac:dyDescent="0.35">
      <c r="O131" s="18">
        <v>5</v>
      </c>
      <c r="P131" s="18">
        <f t="shared" ref="P131:P194" si="21">O131+P130</f>
        <v>645</v>
      </c>
      <c r="Q131" s="3">
        <f t="shared" si="19"/>
        <v>8.648909616986968E-5</v>
      </c>
      <c r="R131" s="3">
        <f t="shared" si="20"/>
        <v>4.324454808493484E-4</v>
      </c>
      <c r="S131" s="3">
        <f t="shared" ref="S131:S194" si="22">S130+R130</f>
        <v>0.11086731404753826</v>
      </c>
      <c r="T131" s="20">
        <f t="shared" ref="T131:T194" si="23">Q131*$B$9*$B$2*0.5/$B$11</f>
        <v>1.7297819233973935</v>
      </c>
      <c r="U131" s="20">
        <v>298.36592708036716</v>
      </c>
    </row>
    <row r="132" spans="15:21" x14ac:dyDescent="0.35">
      <c r="O132" s="18">
        <v>5</v>
      </c>
      <c r="P132" s="18">
        <f t="shared" si="21"/>
        <v>650</v>
      </c>
      <c r="Q132" s="3">
        <f t="shared" ref="Q132:Q195" si="24">$T$2*(1-(S132/$B$12))/($B$9*((0.5*$B$2/$B$11)+(S132/$B$10)))</f>
        <v>8.5989117948562111E-5</v>
      </c>
      <c r="R132" s="3">
        <f t="shared" si="20"/>
        <v>4.2994558974281057E-4</v>
      </c>
      <c r="S132" s="3">
        <f t="shared" si="22"/>
        <v>0.11129975952838761</v>
      </c>
      <c r="T132" s="20">
        <f t="shared" si="23"/>
        <v>1.7197823589712422</v>
      </c>
      <c r="U132" s="20">
        <v>298.31309767170109</v>
      </c>
    </row>
    <row r="133" spans="15:21" x14ac:dyDescent="0.35">
      <c r="O133" s="18">
        <v>5</v>
      </c>
      <c r="P133" s="18">
        <f t="shared" si="21"/>
        <v>655</v>
      </c>
      <c r="Q133" s="3">
        <f t="shared" si="24"/>
        <v>8.5494680634503272E-5</v>
      </c>
      <c r="R133" s="3">
        <f t="shared" si="20"/>
        <v>4.2747340317251636E-4</v>
      </c>
      <c r="S133" s="3">
        <f t="shared" si="22"/>
        <v>0.11172970511813042</v>
      </c>
      <c r="T133" s="20">
        <f t="shared" si="23"/>
        <v>1.7098936126900655</v>
      </c>
      <c r="U133" s="20">
        <v>298.26085157244171</v>
      </c>
    </row>
    <row r="134" spans="15:21" x14ac:dyDescent="0.35">
      <c r="O134" s="18">
        <v>5</v>
      </c>
      <c r="P134" s="18">
        <f t="shared" si="21"/>
        <v>660</v>
      </c>
      <c r="Q134" s="3">
        <f t="shared" si="24"/>
        <v>8.5005685678348332E-5</v>
      </c>
      <c r="R134" s="3">
        <f t="shared" si="20"/>
        <v>4.2502842839174166E-4</v>
      </c>
      <c r="S134" s="3">
        <f t="shared" si="22"/>
        <v>0.11215717852130294</v>
      </c>
      <c r="T134" s="20">
        <f t="shared" si="23"/>
        <v>1.7001137135669666</v>
      </c>
      <c r="U134" s="20">
        <v>298.20917836617741</v>
      </c>
    </row>
    <row r="135" spans="15:21" x14ac:dyDescent="0.35">
      <c r="O135" s="18">
        <v>5</v>
      </c>
      <c r="P135" s="18">
        <f t="shared" si="21"/>
        <v>665</v>
      </c>
      <c r="Q135" s="3">
        <f t="shared" si="24"/>
        <v>8.4522036961169004E-5</v>
      </c>
      <c r="R135" s="3">
        <f t="shared" si="20"/>
        <v>4.2261018480584502E-4</v>
      </c>
      <c r="S135" s="3">
        <f t="shared" si="22"/>
        <v>0.11258220694969469</v>
      </c>
      <c r="T135" s="20">
        <f t="shared" si="23"/>
        <v>1.69044073922338</v>
      </c>
      <c r="U135" s="20">
        <v>298.15806800369671</v>
      </c>
    </row>
    <row r="136" spans="15:21" x14ac:dyDescent="0.35">
      <c r="O136" s="18">
        <v>5</v>
      </c>
      <c r="P136" s="18">
        <f t="shared" si="21"/>
        <v>670</v>
      </c>
      <c r="Q136" s="3">
        <f t="shared" si="24"/>
        <v>8.4043640717967378E-5</v>
      </c>
      <c r="R136" s="3">
        <f t="shared" si="20"/>
        <v>4.2021820358983692E-4</v>
      </c>
      <c r="S136" s="3">
        <f t="shared" si="22"/>
        <v>0.11300481713450053</v>
      </c>
      <c r="T136" s="20">
        <f t="shared" si="23"/>
        <v>1.6808728143593477</v>
      </c>
      <c r="U136" s="20">
        <v>298.10751059624386</v>
      </c>
    </row>
    <row r="137" spans="15:21" x14ac:dyDescent="0.35">
      <c r="O137" s="18">
        <v>5</v>
      </c>
      <c r="P137" s="18">
        <f t="shared" si="21"/>
        <v>675</v>
      </c>
      <c r="Q137" s="3">
        <f t="shared" si="24"/>
        <v>8.3570405464111438E-5</v>
      </c>
      <c r="R137" s="3">
        <f t="shared" si="20"/>
        <v>4.1785202732055719E-4</v>
      </c>
      <c r="S137" s="3">
        <f t="shared" si="22"/>
        <v>0.11342503533809037</v>
      </c>
      <c r="T137" s="20">
        <f t="shared" si="23"/>
        <v>1.671408109282229</v>
      </c>
      <c r="U137" s="20">
        <v>298.05749657425929</v>
      </c>
    </row>
    <row r="138" spans="15:21" x14ac:dyDescent="0.35">
      <c r="O138" s="18">
        <v>5</v>
      </c>
      <c r="P138" s="18">
        <f t="shared" si="21"/>
        <v>680</v>
      </c>
      <c r="Q138" s="3">
        <f t="shared" si="24"/>
        <v>8.3102241924560508E-5</v>
      </c>
      <c r="R138" s="3">
        <f t="shared" si="20"/>
        <v>4.1551120962280254E-4</v>
      </c>
      <c r="S138" s="3">
        <f t="shared" si="22"/>
        <v>0.11384288736541093</v>
      </c>
      <c r="T138" s="20">
        <f t="shared" si="23"/>
        <v>1.6620448384912101</v>
      </c>
      <c r="U138" s="20">
        <v>298.00801665735622</v>
      </c>
    </row>
    <row r="139" spans="15:21" x14ac:dyDescent="0.35">
      <c r="O139" s="18">
        <v>5</v>
      </c>
      <c r="P139" s="18">
        <f t="shared" si="21"/>
        <v>685</v>
      </c>
      <c r="Q139" s="3">
        <f t="shared" si="24"/>
        <v>8.2639062965756964E-5</v>
      </c>
      <c r="R139" s="3">
        <f t="shared" si="20"/>
        <v>4.1319531482878483E-4</v>
      </c>
      <c r="S139" s="3">
        <f t="shared" si="22"/>
        <v>0.11425839857503373</v>
      </c>
      <c r="T139" s="20">
        <f t="shared" si="23"/>
        <v>1.6527812593151392</v>
      </c>
      <c r="U139" s="20">
        <v>297.95906151910941</v>
      </c>
    </row>
    <row r="140" spans="15:21" x14ac:dyDescent="0.35">
      <c r="O140" s="18">
        <v>5</v>
      </c>
      <c r="P140" s="18">
        <f t="shared" si="21"/>
        <v>690</v>
      </c>
      <c r="Q140" s="3">
        <f t="shared" si="24"/>
        <v>8.2180783530066054E-5</v>
      </c>
      <c r="R140" s="3">
        <f t="shared" si="20"/>
        <v>4.109039176503303E-4</v>
      </c>
      <c r="S140" s="3">
        <f t="shared" si="22"/>
        <v>0.11467159388986251</v>
      </c>
      <c r="T140" s="20">
        <f t="shared" si="23"/>
        <v>1.643615670601321</v>
      </c>
      <c r="U140" s="20">
        <v>297.91062247752456</v>
      </c>
    </row>
    <row r="141" spans="15:21" x14ac:dyDescent="0.35">
      <c r="O141" s="18">
        <v>5</v>
      </c>
      <c r="P141" s="18">
        <f t="shared" si="21"/>
        <v>695</v>
      </c>
      <c r="Q141" s="3">
        <f t="shared" si="24"/>
        <v>8.1727320572651892E-5</v>
      </c>
      <c r="R141" s="3">
        <f t="shared" si="20"/>
        <v>4.0863660286325946E-4</v>
      </c>
      <c r="S141" s="3">
        <f t="shared" si="22"/>
        <v>0.11508249780751284</v>
      </c>
      <c r="T141" s="20">
        <f t="shared" si="23"/>
        <v>1.6345464114530379</v>
      </c>
      <c r="U141" s="20">
        <v>297.86269058662066</v>
      </c>
    </row>
    <row r="142" spans="15:21" x14ac:dyDescent="0.35">
      <c r="O142" s="18">
        <v>5</v>
      </c>
      <c r="P142" s="18">
        <f t="shared" si="21"/>
        <v>700</v>
      </c>
      <c r="Q142" s="3">
        <f t="shared" si="24"/>
        <v>8.1278593000683568E-5</v>
      </c>
      <c r="R142" s="3">
        <f t="shared" si="20"/>
        <v>4.0639296500341783E-4</v>
      </c>
      <c r="S142" s="3">
        <f t="shared" si="22"/>
        <v>0.1154911344103761</v>
      </c>
      <c r="T142" s="20">
        <f t="shared" si="23"/>
        <v>1.6255718600136713</v>
      </c>
      <c r="U142" s="20">
        <v>297.81525738199332</v>
      </c>
    </row>
    <row r="143" spans="15:21" x14ac:dyDescent="0.35">
      <c r="O143" s="18">
        <v>5</v>
      </c>
      <c r="P143" s="18">
        <f t="shared" si="21"/>
        <v>705</v>
      </c>
      <c r="Q143" s="3">
        <f t="shared" si="24"/>
        <v>8.0834521614770154E-5</v>
      </c>
      <c r="R143" s="3">
        <f t="shared" si="20"/>
        <v>4.0417260807385077E-4</v>
      </c>
      <c r="S143" s="3">
        <f t="shared" si="22"/>
        <v>0.11589752737537952</v>
      </c>
      <c r="T143" s="20">
        <f t="shared" si="23"/>
        <v>1.616690432295403</v>
      </c>
      <c r="U143" s="20">
        <v>297.76831467158269</v>
      </c>
    </row>
    <row r="144" spans="15:21" x14ac:dyDescent="0.35">
      <c r="O144" s="18">
        <v>5</v>
      </c>
      <c r="P144" s="18">
        <f t="shared" si="21"/>
        <v>710</v>
      </c>
      <c r="Q144" s="3">
        <f t="shared" si="24"/>
        <v>8.0395029052528739E-5</v>
      </c>
      <c r="R144" s="3">
        <f t="shared" si="20"/>
        <v>4.0197514526264371E-4</v>
      </c>
      <c r="S144" s="3">
        <f t="shared" si="22"/>
        <v>0.11630169998345337</v>
      </c>
      <c r="T144" s="20">
        <f t="shared" si="23"/>
        <v>1.6079005810505749</v>
      </c>
      <c r="U144" s="20">
        <v>297.72185414580412</v>
      </c>
    </row>
    <row r="145" spans="15:21" x14ac:dyDescent="0.35">
      <c r="O145" s="18">
        <v>5</v>
      </c>
      <c r="P145" s="18">
        <f t="shared" si="21"/>
        <v>715</v>
      </c>
      <c r="Q145" s="3">
        <f t="shared" si="24"/>
        <v>7.9960039734194532E-5</v>
      </c>
      <c r="R145" s="3">
        <f t="shared" si="20"/>
        <v>3.9980019867097265E-4</v>
      </c>
      <c r="S145" s="3">
        <f t="shared" si="22"/>
        <v>0.11670367512871602</v>
      </c>
      <c r="T145" s="20">
        <f t="shared" si="23"/>
        <v>1.5992007946838909</v>
      </c>
      <c r="U145" s="20">
        <v>297.6758680511212</v>
      </c>
    </row>
    <row r="146" spans="15:21" x14ac:dyDescent="0.35">
      <c r="O146" s="18">
        <v>5</v>
      </c>
      <c r="P146" s="18">
        <f t="shared" si="21"/>
        <v>720</v>
      </c>
      <c r="Q146" s="3">
        <f t="shared" si="24"/>
        <v>7.9529479810185714E-5</v>
      </c>
      <c r="R146" s="3">
        <f t="shared" si="20"/>
        <v>3.9764739905092858E-4</v>
      </c>
      <c r="S146" s="3">
        <f t="shared" si="22"/>
        <v>0.11710347532738699</v>
      </c>
      <c r="T146" s="20">
        <f t="shared" si="23"/>
        <v>1.5905895962037144</v>
      </c>
      <c r="U146" s="20">
        <v>297.63034860240481</v>
      </c>
    </row>
    <row r="147" spans="15:21" x14ac:dyDescent="0.35">
      <c r="O147" s="18">
        <v>5</v>
      </c>
      <c r="P147" s="18">
        <f t="shared" si="21"/>
        <v>725</v>
      </c>
      <c r="Q147" s="3">
        <f t="shared" si="24"/>
        <v>7.9103277110541251E-5</v>
      </c>
      <c r="R147" s="3">
        <f t="shared" si="20"/>
        <v>3.9551638555270624E-4</v>
      </c>
      <c r="S147" s="3">
        <f t="shared" si="22"/>
        <v>0.11750112272643792</v>
      </c>
      <c r="T147" s="20">
        <f t="shared" si="23"/>
        <v>1.582065542210825</v>
      </c>
      <c r="U147" s="20">
        <v>297.58528816455765</v>
      </c>
    </row>
    <row r="148" spans="15:21" x14ac:dyDescent="0.35">
      <c r="O148" s="18">
        <v>5</v>
      </c>
      <c r="P148" s="18">
        <f t="shared" si="21"/>
        <v>730</v>
      </c>
      <c r="Q148" s="3">
        <f t="shared" si="24"/>
        <v>7.8681361096152465E-5</v>
      </c>
      <c r="R148" s="3">
        <f t="shared" si="20"/>
        <v>3.9340680548076234E-4</v>
      </c>
      <c r="S148" s="3">
        <f t="shared" si="22"/>
        <v>0.11789663911199062</v>
      </c>
      <c r="T148" s="20">
        <f t="shared" si="23"/>
        <v>1.5736272219230496</v>
      </c>
      <c r="U148" s="20">
        <v>297.54067927798212</v>
      </c>
    </row>
    <row r="149" spans="15:21" x14ac:dyDescent="0.35">
      <c r="O149" s="18">
        <v>5</v>
      </c>
      <c r="P149" s="18">
        <f t="shared" si="21"/>
        <v>735</v>
      </c>
      <c r="Q149" s="3">
        <f t="shared" si="24"/>
        <v>7.8263662811714022E-5</v>
      </c>
      <c r="R149" s="3">
        <f t="shared" si="20"/>
        <v>3.9131831405857009E-4</v>
      </c>
      <c r="S149" s="3">
        <f t="shared" si="22"/>
        <v>0.11829004591747139</v>
      </c>
      <c r="T149" s="20">
        <f t="shared" si="23"/>
        <v>1.5652732562342806</v>
      </c>
      <c r="U149" s="20">
        <v>297.49651485889979</v>
      </c>
    </row>
    <row r="150" spans="15:21" x14ac:dyDescent="0.35">
      <c r="O150" s="18">
        <v>5</v>
      </c>
      <c r="P150" s="18">
        <f t="shared" si="21"/>
        <v>740</v>
      </c>
      <c r="Q150" s="3">
        <f t="shared" si="24"/>
        <v>7.7850114840323186E-5</v>
      </c>
      <c r="R150" s="3">
        <f t="shared" si="20"/>
        <v>3.8925057420161594E-4</v>
      </c>
      <c r="S150" s="3">
        <f t="shared" si="22"/>
        <v>0.11868136423152996</v>
      </c>
      <c r="T150" s="20">
        <f t="shared" si="23"/>
        <v>1.5570022968064636</v>
      </c>
      <c r="U150" s="20">
        <v>297.45278767589286</v>
      </c>
    </row>
    <row r="151" spans="15:21" x14ac:dyDescent="0.35">
      <c r="O151" s="18">
        <v>5</v>
      </c>
      <c r="P151" s="18">
        <f t="shared" si="21"/>
        <v>745</v>
      </c>
      <c r="Q151" s="3">
        <f t="shared" si="24"/>
        <v>7.7440651259659229E-5</v>
      </c>
      <c r="R151" s="3">
        <f t="shared" si="20"/>
        <v>3.8720325629829614E-4</v>
      </c>
      <c r="S151" s="3">
        <f t="shared" si="22"/>
        <v>0.11907061480573157</v>
      </c>
      <c r="T151" s="20">
        <f t="shared" si="23"/>
        <v>1.5488130251931849</v>
      </c>
      <c r="U151" s="20">
        <v>297.40949092395675</v>
      </c>
    </row>
    <row r="152" spans="15:21" x14ac:dyDescent="0.35">
      <c r="O152" s="18">
        <v>5</v>
      </c>
      <c r="P152" s="18">
        <f t="shared" si="21"/>
        <v>750</v>
      </c>
      <c r="Q152" s="3">
        <f t="shared" si="24"/>
        <v>7.7035207599678398E-5</v>
      </c>
      <c r="R152" s="3">
        <f t="shared" si="20"/>
        <v>3.8517603799839196E-4</v>
      </c>
      <c r="S152" s="3">
        <f t="shared" si="22"/>
        <v>0.11945781806202986</v>
      </c>
      <c r="T152" s="20">
        <f t="shared" si="23"/>
        <v>1.5407041519935678</v>
      </c>
      <c r="U152" s="20">
        <v>297.36661776294682</v>
      </c>
    </row>
    <row r="153" spans="15:21" x14ac:dyDescent="0.35">
      <c r="O153" s="18">
        <v>5</v>
      </c>
      <c r="P153" s="18">
        <f t="shared" si="21"/>
        <v>755</v>
      </c>
      <c r="Q153" s="3">
        <f t="shared" si="24"/>
        <v>7.6633720801763704E-5</v>
      </c>
      <c r="R153" s="3">
        <f t="shared" si="20"/>
        <v>3.8316860400881852E-4</v>
      </c>
      <c r="S153" s="3">
        <f t="shared" si="22"/>
        <v>0.11984299410002826</v>
      </c>
      <c r="T153" s="20">
        <f t="shared" si="23"/>
        <v>1.5326744160352743</v>
      </c>
      <c r="U153" s="20">
        <v>297.32416155353565</v>
      </c>
    </row>
    <row r="154" spans="15:21" x14ac:dyDescent="0.35">
      <c r="O154" s="18">
        <v>5</v>
      </c>
      <c r="P154" s="18">
        <f t="shared" si="21"/>
        <v>760</v>
      </c>
      <c r="Q154" s="3">
        <f t="shared" si="24"/>
        <v>7.6236129179269285E-5</v>
      </c>
      <c r="R154" s="3">
        <f t="shared" si="20"/>
        <v>3.8118064589634645E-4</v>
      </c>
      <c r="S154" s="3">
        <f t="shared" si="22"/>
        <v>0.12022616270403708</v>
      </c>
      <c r="T154" s="20">
        <f t="shared" si="23"/>
        <v>1.5247225835853857</v>
      </c>
      <c r="U154" s="20">
        <v>297.28211586807549</v>
      </c>
    </row>
    <row r="155" spans="15:21" x14ac:dyDescent="0.35">
      <c r="O155" s="18">
        <v>5</v>
      </c>
      <c r="P155" s="18">
        <f t="shared" si="21"/>
        <v>765</v>
      </c>
      <c r="Q155" s="3">
        <f t="shared" si="24"/>
        <v>7.5842372379404964E-5</v>
      </c>
      <c r="R155" s="3">
        <f t="shared" si="20"/>
        <v>3.7921186189702485E-4</v>
      </c>
      <c r="S155" s="3">
        <f t="shared" si="22"/>
        <v>0.12060734334993342</v>
      </c>
      <c r="T155" s="20">
        <f t="shared" si="23"/>
        <v>1.5168474475880993</v>
      </c>
      <c r="U155" s="20">
        <v>297.24047439122137</v>
      </c>
    </row>
    <row r="156" spans="15:21" x14ac:dyDescent="0.35">
      <c r="O156" s="18">
        <v>5</v>
      </c>
      <c r="P156" s="18">
        <f t="shared" si="21"/>
        <v>770</v>
      </c>
      <c r="Q156" s="3">
        <f t="shared" si="24"/>
        <v>7.5452391346406326E-5</v>
      </c>
      <c r="R156" s="3">
        <f t="shared" si="20"/>
        <v>3.7726195673203164E-4</v>
      </c>
      <c r="S156" s="3">
        <f t="shared" si="22"/>
        <v>0.12098655521183045</v>
      </c>
      <c r="T156" s="20">
        <f t="shared" si="23"/>
        <v>1.5090478269281264</v>
      </c>
      <c r="U156" s="20">
        <v>297.19923086484806</v>
      </c>
    </row>
    <row r="157" spans="15:21" x14ac:dyDescent="0.35">
      <c r="O157" s="18">
        <v>5</v>
      </c>
      <c r="P157" s="18">
        <f t="shared" si="21"/>
        <v>775</v>
      </c>
      <c r="Q157" s="3">
        <f t="shared" si="24"/>
        <v>7.5066128285940372E-5</v>
      </c>
      <c r="R157" s="3">
        <f t="shared" si="20"/>
        <v>3.7533064142970189E-4</v>
      </c>
      <c r="S157" s="3">
        <f t="shared" si="22"/>
        <v>0.12136381716856248</v>
      </c>
      <c r="T157" s="20">
        <f t="shared" si="23"/>
        <v>1.5013225657188074</v>
      </c>
      <c r="U157" s="20">
        <v>297.15837910400757</v>
      </c>
    </row>
    <row r="158" spans="15:21" x14ac:dyDescent="0.35">
      <c r="O158" s="18">
        <v>5</v>
      </c>
      <c r="P158" s="18">
        <f t="shared" si="21"/>
        <v>780</v>
      </c>
      <c r="Q158" s="3">
        <f t="shared" si="24"/>
        <v>7.4683526630697075E-5</v>
      </c>
      <c r="R158" s="3">
        <f t="shared" si="20"/>
        <v>3.7341763315348539E-4</v>
      </c>
      <c r="S158" s="3">
        <f t="shared" si="22"/>
        <v>0.12173914780999219</v>
      </c>
      <c r="T158" s="20">
        <f t="shared" si="23"/>
        <v>1.4936705326139414</v>
      </c>
      <c r="U158" s="20">
        <v>297.11791342225189</v>
      </c>
    </row>
    <row r="159" spans="15:21" x14ac:dyDescent="0.35">
      <c r="O159" s="18">
        <v>5</v>
      </c>
      <c r="P159" s="18">
        <f t="shared" si="21"/>
        <v>785</v>
      </c>
      <c r="Q159" s="3">
        <f t="shared" si="24"/>
        <v>7.4304531007121343E-5</v>
      </c>
      <c r="R159" s="3">
        <f t="shared" si="20"/>
        <v>3.715226550356067E-4</v>
      </c>
      <c r="S159" s="3">
        <f t="shared" si="22"/>
        <v>0.12211256544314568</v>
      </c>
      <c r="T159" s="20">
        <f t="shared" si="23"/>
        <v>1.4860906201424269</v>
      </c>
      <c r="U159" s="20">
        <v>297.07782775136548</v>
      </c>
    </row>
    <row r="160" spans="15:21" x14ac:dyDescent="0.35">
      <c r="O160" s="18">
        <v>5</v>
      </c>
      <c r="P160" s="18">
        <f t="shared" si="21"/>
        <v>790</v>
      </c>
      <c r="Q160" s="3">
        <f t="shared" si="24"/>
        <v>7.3929087203240495E-5</v>
      </c>
      <c r="R160" s="3">
        <f t="shared" si="20"/>
        <v>3.6964543601620246E-4</v>
      </c>
      <c r="S160" s="3">
        <f t="shared" si="22"/>
        <v>0.12248408809818129</v>
      </c>
      <c r="T160" s="20">
        <f t="shared" si="23"/>
        <v>1.4785817440648099</v>
      </c>
      <c r="U160" s="20">
        <v>297.03811661795277</v>
      </c>
    </row>
    <row r="161" spans="15:21" x14ac:dyDescent="0.35">
      <c r="O161" s="18">
        <v>5</v>
      </c>
      <c r="P161" s="18">
        <f t="shared" si="21"/>
        <v>795</v>
      </c>
      <c r="Q161" s="3">
        <f t="shared" si="24"/>
        <v>7.3557142137544709E-5</v>
      </c>
      <c r="R161" s="3">
        <f t="shared" si="20"/>
        <v>3.6778571068772354E-4</v>
      </c>
      <c r="S161" s="3">
        <f t="shared" si="22"/>
        <v>0.12285373353419748</v>
      </c>
      <c r="T161" s="20">
        <f t="shared" si="23"/>
        <v>1.4711428427508941</v>
      </c>
      <c r="U161" s="20">
        <v>296.99877425483226</v>
      </c>
    </row>
    <row r="162" spans="15:21" x14ac:dyDescent="0.35">
      <c r="O162" s="18">
        <v>5</v>
      </c>
      <c r="P162" s="18">
        <f t="shared" si="21"/>
        <v>800</v>
      </c>
      <c r="Q162" s="3">
        <f t="shared" si="24"/>
        <v>7.3188643828880459E-5</v>
      </c>
      <c r="R162" s="3">
        <f t="shared" si="20"/>
        <v>3.6594321914440231E-4</v>
      </c>
      <c r="S162" s="3">
        <f t="shared" si="22"/>
        <v>0.12322151924488521</v>
      </c>
      <c r="T162" s="20">
        <f t="shared" si="23"/>
        <v>1.463772876577609</v>
      </c>
      <c r="U162" s="20">
        <v>296.95979529353684</v>
      </c>
    </row>
    <row r="163" spans="15:21" x14ac:dyDescent="0.35">
      <c r="O163" s="18">
        <v>5</v>
      </c>
      <c r="P163" s="18">
        <f t="shared" si="21"/>
        <v>805</v>
      </c>
      <c r="Q163" s="3">
        <f t="shared" si="24"/>
        <v>7.282354136731803E-5</v>
      </c>
      <c r="R163" s="3">
        <f t="shared" si="20"/>
        <v>3.6411770683659014E-4</v>
      </c>
      <c r="S163" s="3">
        <f t="shared" si="22"/>
        <v>0.12358746246402962</v>
      </c>
      <c r="T163" s="20">
        <f t="shared" si="23"/>
        <v>1.4564708273463605</v>
      </c>
      <c r="U163" s="20">
        <v>296.92117439314427</v>
      </c>
    </row>
    <row r="164" spans="15:21" x14ac:dyDescent="0.35">
      <c r="O164" s="18">
        <v>5</v>
      </c>
      <c r="P164" s="18">
        <f t="shared" si="21"/>
        <v>810</v>
      </c>
      <c r="Q164" s="3">
        <f t="shared" si="24"/>
        <v>7.246178488595561E-5</v>
      </c>
      <c r="R164" s="3">
        <f t="shared" si="20"/>
        <v>3.6230892442977805E-4</v>
      </c>
      <c r="S164" s="3">
        <f t="shared" si="22"/>
        <v>0.1239515801708662</v>
      </c>
      <c r="T164" s="20">
        <f t="shared" si="23"/>
        <v>1.4492356977191121</v>
      </c>
      <c r="U164" s="20">
        <v>296.88290620524799</v>
      </c>
    </row>
    <row r="165" spans="15:21" x14ac:dyDescent="0.35">
      <c r="O165" s="18">
        <v>5</v>
      </c>
      <c r="P165" s="18">
        <f t="shared" si="21"/>
        <v>815</v>
      </c>
      <c r="Q165" s="3">
        <f t="shared" si="24"/>
        <v>7.2103325533625349E-5</v>
      </c>
      <c r="R165" s="3">
        <f t="shared" si="20"/>
        <v>3.6051662766812674E-4</v>
      </c>
      <c r="S165" s="3">
        <f t="shared" si="22"/>
        <v>0.12431388909529598</v>
      </c>
      <c r="T165" s="20">
        <f t="shared" si="23"/>
        <v>1.442066510672507</v>
      </c>
      <c r="U165" s="20">
        <v>296.84498572847872</v>
      </c>
    </row>
    <row r="166" spans="15:21" x14ac:dyDescent="0.35">
      <c r="O166" s="18">
        <v>5</v>
      </c>
      <c r="P166" s="18">
        <f t="shared" si="21"/>
        <v>820</v>
      </c>
      <c r="Q166" s="3">
        <f t="shared" si="24"/>
        <v>7.1748115448466913E-5</v>
      </c>
      <c r="R166" s="3">
        <f t="shared" si="20"/>
        <v>3.5874057724233458E-4</v>
      </c>
      <c r="S166" s="3">
        <f t="shared" si="22"/>
        <v>0.12467440572296411</v>
      </c>
      <c r="T166" s="20">
        <f t="shared" si="23"/>
        <v>1.4349623089693382</v>
      </c>
      <c r="U166" s="20">
        <v>296.80740787664513</v>
      </c>
    </row>
    <row r="167" spans="15:21" x14ac:dyDescent="0.35">
      <c r="O167" s="18">
        <v>5</v>
      </c>
      <c r="P167" s="18">
        <f t="shared" si="21"/>
        <v>825</v>
      </c>
      <c r="Q167" s="3">
        <f t="shared" si="24"/>
        <v>7.1396107732336444E-5</v>
      </c>
      <c r="R167" s="3">
        <f t="shared" si="20"/>
        <v>3.5698053866168222E-4</v>
      </c>
      <c r="S167" s="3">
        <f t="shared" si="22"/>
        <v>0.12503314630020645</v>
      </c>
      <c r="T167" s="20">
        <f t="shared" si="23"/>
        <v>1.4279221546467289</v>
      </c>
      <c r="U167" s="20">
        <v>296.7701677395612</v>
      </c>
    </row>
    <row r="168" spans="15:21" x14ac:dyDescent="0.35">
      <c r="O168" s="18">
        <v>5</v>
      </c>
      <c r="P168" s="18">
        <f t="shared" si="21"/>
        <v>830</v>
      </c>
      <c r="Q168" s="3">
        <f t="shared" si="24"/>
        <v>7.1047256426019672E-5</v>
      </c>
      <c r="R168" s="3">
        <f t="shared" si="20"/>
        <v>3.5523628213009835E-4</v>
      </c>
      <c r="S168" s="3">
        <f t="shared" si="22"/>
        <v>0.12539012683886813</v>
      </c>
      <c r="T168" s="20">
        <f t="shared" si="23"/>
        <v>1.4209451285203933</v>
      </c>
      <c r="U168" s="20">
        <v>296.73326050213251</v>
      </c>
    </row>
    <row r="169" spans="15:21" x14ac:dyDescent="0.35">
      <c r="O169" s="18">
        <v>5</v>
      </c>
      <c r="P169" s="18">
        <f t="shared" si="21"/>
        <v>835</v>
      </c>
      <c r="Q169" s="3">
        <f t="shared" si="24"/>
        <v>7.0701516485219623E-5</v>
      </c>
      <c r="R169" s="3">
        <f t="shared" si="20"/>
        <v>3.535075824260981E-4</v>
      </c>
      <c r="S169" s="3">
        <f t="shared" si="22"/>
        <v>0.12574536312099824</v>
      </c>
      <c r="T169" s="20">
        <f t="shared" si="23"/>
        <v>1.4140303297043924</v>
      </c>
      <c r="U169" s="20">
        <v>296.69668129499888</v>
      </c>
    </row>
    <row r="170" spans="15:21" x14ac:dyDescent="0.35">
      <c r="O170" s="18">
        <v>5</v>
      </c>
      <c r="P170" s="18">
        <f t="shared" si="21"/>
        <v>840</v>
      </c>
      <c r="Q170" s="3">
        <f t="shared" si="24"/>
        <v>7.0358843757290619E-5</v>
      </c>
      <c r="R170" s="3">
        <f t="shared" si="20"/>
        <v>3.5179421878645309E-4</v>
      </c>
      <c r="S170" s="3">
        <f t="shared" si="22"/>
        <v>0.12609887070342435</v>
      </c>
      <c r="T170" s="20">
        <f t="shared" si="23"/>
        <v>1.4071768751458122</v>
      </c>
      <c r="U170" s="20">
        <v>296.6604256210673</v>
      </c>
    </row>
    <row r="171" spans="15:21" x14ac:dyDescent="0.35">
      <c r="O171" s="18">
        <v>5</v>
      </c>
      <c r="P171" s="18">
        <f t="shared" si="21"/>
        <v>845</v>
      </c>
      <c r="Q171" s="3">
        <f t="shared" si="24"/>
        <v>7.0019194958690842E-5</v>
      </c>
      <c r="R171" s="3">
        <f t="shared" si="20"/>
        <v>3.5009597479345421E-4</v>
      </c>
      <c r="S171" s="3">
        <f t="shared" si="22"/>
        <v>0.1264506649222108</v>
      </c>
      <c r="T171" s="20">
        <f t="shared" si="23"/>
        <v>1.4003838991738167</v>
      </c>
      <c r="U171" s="20">
        <v>296.62448881997938</v>
      </c>
    </row>
    <row r="172" spans="15:21" x14ac:dyDescent="0.35">
      <c r="O172" s="18">
        <v>5</v>
      </c>
      <c r="P172" s="18">
        <f t="shared" si="21"/>
        <v>850</v>
      </c>
      <c r="Q172" s="3">
        <f t="shared" si="24"/>
        <v>6.9682527653127966E-5</v>
      </c>
      <c r="R172" s="3">
        <f t="shared" si="20"/>
        <v>3.4841263826563981E-4</v>
      </c>
      <c r="S172" s="3">
        <f t="shared" si="22"/>
        <v>0.12680076089700426</v>
      </c>
      <c r="T172" s="20">
        <f t="shared" si="23"/>
        <v>1.3936505530625591</v>
      </c>
      <c r="U172" s="20">
        <v>296.58886655757624</v>
      </c>
    </row>
    <row r="173" spans="15:21" x14ac:dyDescent="0.35">
      <c r="O173" s="18">
        <v>5</v>
      </c>
      <c r="P173" s="18">
        <f t="shared" si="21"/>
        <v>855</v>
      </c>
      <c r="Q173" s="3">
        <f t="shared" si="24"/>
        <v>6.9348800230372378E-5</v>
      </c>
      <c r="R173" s="3">
        <f t="shared" si="20"/>
        <v>3.4674400115186188E-4</v>
      </c>
      <c r="S173" s="3">
        <f t="shared" si="22"/>
        <v>0.12714917353526989</v>
      </c>
      <c r="T173" s="20">
        <f t="shared" si="23"/>
        <v>1.3869760046074477</v>
      </c>
      <c r="U173" s="20">
        <v>296.55355441268</v>
      </c>
    </row>
    <row r="174" spans="15:21" x14ac:dyDescent="0.35">
      <c r="O174" s="18">
        <v>5</v>
      </c>
      <c r="P174" s="18">
        <f t="shared" si="21"/>
        <v>860</v>
      </c>
      <c r="Q174" s="3">
        <f t="shared" si="24"/>
        <v>6.9017971885714275E-5</v>
      </c>
      <c r="R174" s="3">
        <f t="shared" si="20"/>
        <v>3.4508985942857136E-4</v>
      </c>
      <c r="S174" s="3">
        <f t="shared" si="22"/>
        <v>0.12749591753642175</v>
      </c>
      <c r="T174" s="20">
        <f t="shared" si="23"/>
        <v>1.3803594377142854</v>
      </c>
      <c r="U174" s="20">
        <v>296.51854801471586</v>
      </c>
    </row>
    <row r="175" spans="15:21" x14ac:dyDescent="0.35">
      <c r="O175" s="18">
        <v>5</v>
      </c>
      <c r="P175" s="18">
        <f t="shared" si="21"/>
        <v>865</v>
      </c>
      <c r="Q175" s="3">
        <f t="shared" si="24"/>
        <v>6.8690002600041501E-5</v>
      </c>
      <c r="R175" s="3">
        <f t="shared" si="20"/>
        <v>3.4345001300020749E-4</v>
      </c>
      <c r="S175" s="3">
        <f t="shared" si="22"/>
        <v>0.12784100739585033</v>
      </c>
      <c r="T175" s="20">
        <f t="shared" si="23"/>
        <v>1.3738000520008302</v>
      </c>
      <c r="U175" s="20">
        <v>296.48384317490945</v>
      </c>
    </row>
    <row r="176" spans="15:21" x14ac:dyDescent="0.35">
      <c r="O176" s="18">
        <v>5</v>
      </c>
      <c r="P176" s="18">
        <f t="shared" si="21"/>
        <v>870</v>
      </c>
      <c r="Q176" s="3">
        <f t="shared" si="24"/>
        <v>6.8364853120516178E-5</v>
      </c>
      <c r="R176" s="3">
        <f t="shared" si="20"/>
        <v>3.418242656025809E-4</v>
      </c>
      <c r="S176" s="3">
        <f t="shared" si="22"/>
        <v>0.12818445740885054</v>
      </c>
      <c r="T176" s="20">
        <f t="shared" si="23"/>
        <v>1.3672970624103236</v>
      </c>
      <c r="U176" s="20">
        <v>296.44943591974544</v>
      </c>
    </row>
    <row r="177" spans="15:21" x14ac:dyDescent="0.35">
      <c r="O177" s="18">
        <v>5</v>
      </c>
      <c r="P177" s="18">
        <f t="shared" si="21"/>
        <v>875</v>
      </c>
      <c r="Q177" s="3">
        <f t="shared" si="24"/>
        <v>6.8042484941828877E-5</v>
      </c>
      <c r="R177" s="3">
        <f t="shared" si="20"/>
        <v>3.4021242470914437E-4</v>
      </c>
      <c r="S177" s="3">
        <f t="shared" si="22"/>
        <v>0.12852628167445312</v>
      </c>
      <c r="T177" s="20">
        <f t="shared" si="23"/>
        <v>1.3608496988365775</v>
      </c>
      <c r="U177" s="20">
        <v>296.41532197090351</v>
      </c>
    </row>
    <row r="178" spans="15:21" x14ac:dyDescent="0.35">
      <c r="O178" s="18">
        <v>5</v>
      </c>
      <c r="P178" s="18">
        <f t="shared" si="21"/>
        <v>880</v>
      </c>
      <c r="Q178" s="3">
        <f t="shared" si="24"/>
        <v>6.7722860288010168E-5</v>
      </c>
      <c r="R178" s="3">
        <f t="shared" si="20"/>
        <v>3.3861430144005087E-4</v>
      </c>
      <c r="S178" s="3">
        <f t="shared" si="22"/>
        <v>0.12886649409916226</v>
      </c>
      <c r="T178" s="20">
        <f t="shared" si="23"/>
        <v>1.3544572057602033</v>
      </c>
      <c r="U178" s="20">
        <v>296.38149750677115</v>
      </c>
    </row>
    <row r="179" spans="15:21" x14ac:dyDescent="0.35">
      <c r="O179" s="18">
        <v>5</v>
      </c>
      <c r="P179" s="18">
        <f t="shared" si="21"/>
        <v>885</v>
      </c>
      <c r="Q179" s="3">
        <f t="shared" si="24"/>
        <v>6.7405942094779937E-5</v>
      </c>
      <c r="R179" s="3">
        <f t="shared" si="20"/>
        <v>3.3702971047389968E-4</v>
      </c>
      <c r="S179" s="3">
        <f t="shared" si="22"/>
        <v>0.12920510840060231</v>
      </c>
      <c r="T179" s="20">
        <f t="shared" si="23"/>
        <v>1.3481188418955987</v>
      </c>
      <c r="U179" s="20">
        <v>296.34795854966779</v>
      </c>
    </row>
    <row r="180" spans="15:21" x14ac:dyDescent="0.35">
      <c r="O180" s="18">
        <v>5</v>
      </c>
      <c r="P180" s="18">
        <f t="shared" si="21"/>
        <v>890</v>
      </c>
      <c r="Q180" s="3">
        <f t="shared" si="24"/>
        <v>6.7091693992415752E-5</v>
      </c>
      <c r="R180" s="3">
        <f t="shared" si="20"/>
        <v>3.3545846996207876E-4</v>
      </c>
      <c r="S180" s="3">
        <f t="shared" si="22"/>
        <v>0.1295421381110762</v>
      </c>
      <c r="T180" s="20">
        <f t="shared" si="23"/>
        <v>1.3418338798483149</v>
      </c>
      <c r="U180" s="20">
        <v>296.31470131703105</v>
      </c>
    </row>
    <row r="181" spans="15:21" x14ac:dyDescent="0.35">
      <c r="O181" s="18">
        <v>5</v>
      </c>
      <c r="P181" s="18">
        <f t="shared" si="21"/>
        <v>895</v>
      </c>
      <c r="Q181" s="3">
        <f t="shared" si="24"/>
        <v>6.6780080289122716E-5</v>
      </c>
      <c r="R181" s="3">
        <f t="shared" si="20"/>
        <v>3.3390040144561355E-4</v>
      </c>
      <c r="S181" s="3">
        <f t="shared" si="22"/>
        <v>0.12987759658103828</v>
      </c>
      <c r="T181" s="20">
        <f t="shared" si="23"/>
        <v>1.3356016057824542</v>
      </c>
      <c r="U181" s="20">
        <v>296.28172206607792</v>
      </c>
    </row>
    <row r="182" spans="15:21" x14ac:dyDescent="0.35">
      <c r="O182" s="18">
        <v>5</v>
      </c>
      <c r="P182" s="18">
        <f t="shared" si="21"/>
        <v>900</v>
      </c>
      <c r="Q182" s="3">
        <f t="shared" si="24"/>
        <v>6.6471065954886959E-5</v>
      </c>
      <c r="R182" s="3">
        <f t="shared" si="20"/>
        <v>3.3235532977443481E-4</v>
      </c>
      <c r="S182" s="3">
        <f t="shared" si="22"/>
        <v>0.13021149698248391</v>
      </c>
      <c r="T182" s="20">
        <f t="shared" si="23"/>
        <v>1.3294213190977391</v>
      </c>
      <c r="U182" s="20">
        <v>296.2490171020101</v>
      </c>
    </row>
    <row r="183" spans="15:21" x14ac:dyDescent="0.35">
      <c r="O183" s="18">
        <v>5</v>
      </c>
      <c r="P183" s="18">
        <f t="shared" si="21"/>
        <v>905</v>
      </c>
      <c r="Q183" s="3">
        <f t="shared" si="24"/>
        <v>6.6164616605796707E-5</v>
      </c>
      <c r="R183" s="3">
        <f t="shared" si="20"/>
        <v>3.3082308302898354E-4</v>
      </c>
      <c r="S183" s="3">
        <f t="shared" si="22"/>
        <v>0.13054385231225835</v>
      </c>
      <c r="T183" s="20">
        <f t="shared" si="23"/>
        <v>1.323292332115934</v>
      </c>
      <c r="U183" s="20">
        <v>296.21658276218307</v>
      </c>
    </row>
    <row r="184" spans="15:21" x14ac:dyDescent="0.35">
      <c r="O184" s="18">
        <v>5</v>
      </c>
      <c r="P184" s="18">
        <f t="shared" si="21"/>
        <v>910</v>
      </c>
      <c r="Q184" s="3">
        <f t="shared" si="24"/>
        <v>6.5860698488814744E-5</v>
      </c>
      <c r="R184" s="3">
        <f t="shared" si="20"/>
        <v>3.2930349244407372E-4</v>
      </c>
      <c r="S184" s="3">
        <f t="shared" si="22"/>
        <v>0.13087467539528733</v>
      </c>
      <c r="T184" s="20">
        <f t="shared" si="23"/>
        <v>1.3172139697762948</v>
      </c>
      <c r="U184" s="20">
        <v>296.18441557212265</v>
      </c>
    </row>
    <row r="185" spans="15:21" x14ac:dyDescent="0.35">
      <c r="O185" s="18">
        <v>5</v>
      </c>
      <c r="P185" s="18">
        <f t="shared" si="21"/>
        <v>915</v>
      </c>
      <c r="Q185" s="3">
        <f t="shared" si="24"/>
        <v>6.5559278466987208E-5</v>
      </c>
      <c r="R185" s="3">
        <f t="shared" si="20"/>
        <v>3.2779639233493601E-4</v>
      </c>
      <c r="S185" s="3">
        <f t="shared" si="22"/>
        <v>0.13120397888773139</v>
      </c>
      <c r="T185" s="20">
        <f t="shared" si="23"/>
        <v>1.3111855693397441</v>
      </c>
      <c r="U185" s="20">
        <v>296.15251201810099</v>
      </c>
    </row>
    <row r="186" spans="15:21" x14ac:dyDescent="0.35">
      <c r="O186" s="18">
        <v>5</v>
      </c>
      <c r="P186" s="18">
        <f t="shared" si="21"/>
        <v>920</v>
      </c>
      <c r="Q186" s="3">
        <f t="shared" si="24"/>
        <v>6.5260324005073715E-5</v>
      </c>
      <c r="R186" s="3">
        <f t="shared" si="20"/>
        <v>3.2630162002536859E-4</v>
      </c>
      <c r="S186" s="3">
        <f t="shared" si="22"/>
        <v>0.13153177528006632</v>
      </c>
      <c r="T186" s="20">
        <f t="shared" si="23"/>
        <v>1.3052064801014742</v>
      </c>
      <c r="U186" s="20">
        <v>296.12086855248725</v>
      </c>
    </row>
    <row r="187" spans="15:21" x14ac:dyDescent="0.35">
      <c r="O187" s="18">
        <v>5</v>
      </c>
      <c r="P187" s="18">
        <f t="shared" si="21"/>
        <v>925</v>
      </c>
      <c r="Q187" s="3">
        <f t="shared" si="24"/>
        <v>6.4963803155585151E-5</v>
      </c>
      <c r="R187" s="3">
        <f t="shared" si="20"/>
        <v>3.2481901577792574E-4</v>
      </c>
      <c r="S187" s="3">
        <f t="shared" si="22"/>
        <v>0.13185807690009169</v>
      </c>
      <c r="T187" s="20">
        <f t="shared" si="23"/>
        <v>1.2992760631117033</v>
      </c>
      <c r="U187" s="20">
        <v>296.0894819902079</v>
      </c>
    </row>
    <row r="188" spans="15:21" x14ac:dyDescent="0.35">
      <c r="O188" s="18">
        <v>5</v>
      </c>
      <c r="P188" s="18">
        <f t="shared" si="21"/>
        <v>930</v>
      </c>
      <c r="Q188" s="3">
        <f t="shared" si="24"/>
        <v>6.4669684545215015E-5</v>
      </c>
      <c r="R188" s="3">
        <f t="shared" si="20"/>
        <v>3.2334842272607506E-4</v>
      </c>
      <c r="S188" s="3">
        <f t="shared" si="22"/>
        <v>0.13218289591586962</v>
      </c>
      <c r="T188" s="20">
        <f t="shared" si="23"/>
        <v>1.2933936909043002</v>
      </c>
      <c r="U188" s="20">
        <v>296.05834893401732</v>
      </c>
    </row>
    <row r="189" spans="15:21" x14ac:dyDescent="0.35">
      <c r="O189" s="18">
        <v>5</v>
      </c>
      <c r="P189" s="18">
        <f t="shared" si="21"/>
        <v>935</v>
      </c>
      <c r="Q189" s="3">
        <f t="shared" si="24"/>
        <v>6.4377937361651729E-5</v>
      </c>
      <c r="R189" s="3">
        <f t="shared" si="20"/>
        <v>3.2188968680825866E-4</v>
      </c>
      <c r="S189" s="3">
        <f t="shared" si="22"/>
        <v>0.1325062443385957</v>
      </c>
      <c r="T189" s="20">
        <f t="shared" si="23"/>
        <v>1.2875587472330345</v>
      </c>
      <c r="U189" s="20">
        <v>296.02746619719301</v>
      </c>
    </row>
    <row r="190" spans="15:21" x14ac:dyDescent="0.35">
      <c r="O190" s="18">
        <v>5</v>
      </c>
      <c r="P190" s="18">
        <f t="shared" si="21"/>
        <v>940</v>
      </c>
      <c r="Q190" s="3">
        <f t="shared" si="24"/>
        <v>6.408853134075903E-5</v>
      </c>
      <c r="R190" s="3">
        <f t="shared" si="20"/>
        <v>3.2044265670379518E-4</v>
      </c>
      <c r="S190" s="3">
        <f t="shared" si="22"/>
        <v>0.13282813402540397</v>
      </c>
      <c r="T190" s="20">
        <f t="shared" si="23"/>
        <v>1.2817706268151805</v>
      </c>
      <c r="U190" s="20">
        <v>295.99683053028377</v>
      </c>
    </row>
    <row r="191" spans="15:21" x14ac:dyDescent="0.35">
      <c r="O191" s="18">
        <v>5</v>
      </c>
      <c r="P191" s="18">
        <f t="shared" si="21"/>
        <v>945</v>
      </c>
      <c r="Q191" s="3">
        <f t="shared" si="24"/>
        <v>6.3801436754112444E-5</v>
      </c>
      <c r="R191" s="3">
        <f t="shared" si="20"/>
        <v>3.1900718377056219E-4</v>
      </c>
      <c r="S191" s="3">
        <f t="shared" si="22"/>
        <v>0.13314857668210778</v>
      </c>
      <c r="T191" s="20">
        <f t="shared" si="23"/>
        <v>1.2760287350822488</v>
      </c>
      <c r="U191" s="20">
        <v>295.966438875118</v>
      </c>
    </row>
    <row r="192" spans="15:21" x14ac:dyDescent="0.35">
      <c r="O192" s="18">
        <v>5</v>
      </c>
      <c r="P192" s="18">
        <f t="shared" si="21"/>
        <v>950</v>
      </c>
      <c r="Q192" s="3">
        <f t="shared" si="24"/>
        <v>6.3516624396880438E-5</v>
      </c>
      <c r="R192" s="3">
        <f t="shared" si="20"/>
        <v>3.1758312198440221E-4</v>
      </c>
      <c r="S192" s="3">
        <f t="shared" si="22"/>
        <v>0.13346758386587834</v>
      </c>
      <c r="T192" s="20">
        <f t="shared" si="23"/>
        <v>1.2703324879376088</v>
      </c>
      <c r="U192" s="20">
        <v>295.93628807466615</v>
      </c>
    </row>
    <row r="193" spans="15:21" x14ac:dyDescent="0.35">
      <c r="O193" s="18">
        <v>5</v>
      </c>
      <c r="P193" s="18">
        <f t="shared" si="21"/>
        <v>955</v>
      </c>
      <c r="Q193" s="3">
        <f t="shared" si="24"/>
        <v>6.3234065576038602E-5</v>
      </c>
      <c r="R193" s="3">
        <f t="shared" si="20"/>
        <v>3.16170327880193E-4</v>
      </c>
      <c r="S193" s="3">
        <f t="shared" si="22"/>
        <v>0.13378516698786275</v>
      </c>
      <c r="T193" s="20">
        <f t="shared" si="23"/>
        <v>1.264681311520772</v>
      </c>
      <c r="U193" s="20">
        <v>295.90637517613027</v>
      </c>
    </row>
    <row r="194" spans="15:21" x14ac:dyDescent="0.35">
      <c r="O194" s="18">
        <v>5</v>
      </c>
      <c r="P194" s="18">
        <f t="shared" si="21"/>
        <v>960</v>
      </c>
      <c r="Q194" s="3">
        <f t="shared" si="24"/>
        <v>6.2953732098906473E-5</v>
      </c>
      <c r="R194" s="3">
        <f t="shared" ref="R194:R257" si="25">Q194*O194</f>
        <v>3.1476866049453238E-4</v>
      </c>
      <c r="S194" s="3">
        <f t="shared" si="22"/>
        <v>0.13410133731574295</v>
      </c>
      <c r="T194" s="20">
        <f t="shared" si="23"/>
        <v>1.2590746419781296</v>
      </c>
      <c r="U194" s="20">
        <v>295.87669722510879</v>
      </c>
    </row>
    <row r="195" spans="15:21" x14ac:dyDescent="0.35">
      <c r="O195" s="18">
        <v>5</v>
      </c>
      <c r="P195" s="18">
        <f t="shared" ref="P195:P258" si="26">O195+P194</f>
        <v>965</v>
      </c>
      <c r="Q195" s="3">
        <f t="shared" si="24"/>
        <v>6.267559626199661E-5</v>
      </c>
      <c r="R195" s="3">
        <f t="shared" si="25"/>
        <v>3.1337798130998303E-4</v>
      </c>
      <c r="S195" s="3">
        <f t="shared" ref="S195:S258" si="27">S194+R194</f>
        <v>0.13441610597623749</v>
      </c>
      <c r="T195" s="20">
        <f t="shared" ref="T195:T258" si="28">Q195*$B$9*$B$2*0.5/$B$11</f>
        <v>1.253511925239932</v>
      </c>
      <c r="U195" s="20">
        <v>295.84725119236862</v>
      </c>
    </row>
    <row r="196" spans="15:21" x14ac:dyDescent="0.35">
      <c r="O196" s="18">
        <v>5</v>
      </c>
      <c r="P196" s="18">
        <f t="shared" si="26"/>
        <v>970</v>
      </c>
      <c r="Q196" s="3">
        <f t="shared" ref="Q196:Q259" si="29">$T$2*(1-(S196/$B$12))/($B$9*((0.5*$B$2/$B$11)+(S196/$B$10)))</f>
        <v>6.2399630840165543E-5</v>
      </c>
      <c r="R196" s="3">
        <f t="shared" si="25"/>
        <v>3.1199815420082774E-4</v>
      </c>
      <c r="S196" s="3">
        <f t="shared" si="27"/>
        <v>0.13472948395754747</v>
      </c>
      <c r="T196" s="20">
        <f t="shared" si="28"/>
        <v>1.2479926168033109</v>
      </c>
      <c r="U196" s="20">
        <v>295.81803432550993</v>
      </c>
    </row>
    <row r="197" spans="15:21" x14ac:dyDescent="0.35">
      <c r="O197" s="18">
        <v>5</v>
      </c>
      <c r="P197" s="18">
        <f t="shared" si="26"/>
        <v>975</v>
      </c>
      <c r="Q197" s="3">
        <f t="shared" si="29"/>
        <v>6.2125809076057377E-5</v>
      </c>
      <c r="R197" s="3">
        <f t="shared" si="25"/>
        <v>3.1062904538028686E-4</v>
      </c>
      <c r="S197" s="3">
        <f t="shared" si="27"/>
        <v>0.1350414821117483</v>
      </c>
      <c r="T197" s="20">
        <f t="shared" si="28"/>
        <v>1.2425161815211474</v>
      </c>
      <c r="U197" s="20">
        <v>295.78904379921988</v>
      </c>
    </row>
    <row r="198" spans="15:21" x14ac:dyDescent="0.35">
      <c r="O198" s="18">
        <v>5</v>
      </c>
      <c r="P198" s="18">
        <f t="shared" si="26"/>
        <v>980</v>
      </c>
      <c r="Q198" s="3">
        <f t="shared" si="29"/>
        <v>6.185410466983074E-5</v>
      </c>
      <c r="R198" s="3">
        <f t="shared" si="25"/>
        <v>3.0927052334915367E-4</v>
      </c>
      <c r="S198" s="3">
        <f t="shared" si="27"/>
        <v>0.13535211115712859</v>
      </c>
      <c r="T198" s="20">
        <f t="shared" si="28"/>
        <v>1.2370820933966147</v>
      </c>
      <c r="U198" s="20">
        <v>295.76027675472665</v>
      </c>
    </row>
    <row r="199" spans="15:21" x14ac:dyDescent="0.35">
      <c r="O199" s="18">
        <v>5</v>
      </c>
      <c r="P199" s="18">
        <f t="shared" si="26"/>
        <v>985</v>
      </c>
      <c r="Q199" s="3">
        <f t="shared" si="29"/>
        <v>6.1584491769159803E-5</v>
      </c>
      <c r="R199" s="3">
        <f t="shared" si="25"/>
        <v>3.07922458845799E-4</v>
      </c>
      <c r="S199" s="3">
        <f t="shared" si="27"/>
        <v>0.13566138168047773</v>
      </c>
      <c r="T199" s="20">
        <f t="shared" si="28"/>
        <v>1.231689835383196</v>
      </c>
      <c r="U199" s="20">
        <v>295.73173055868978</v>
      </c>
    </row>
    <row r="200" spans="15:21" x14ac:dyDescent="0.35">
      <c r="O200" s="18">
        <v>5</v>
      </c>
      <c r="P200" s="18">
        <f t="shared" si="26"/>
        <v>990</v>
      </c>
      <c r="Q200" s="3">
        <f t="shared" si="29"/>
        <v>6.1316944959501185E-5</v>
      </c>
      <c r="R200" s="3">
        <f t="shared" si="25"/>
        <v>3.0658472479750591E-4</v>
      </c>
      <c r="S200" s="3">
        <f t="shared" si="27"/>
        <v>0.13596930413932354</v>
      </c>
      <c r="T200" s="20">
        <f t="shared" si="28"/>
        <v>1.2263388991900237</v>
      </c>
      <c r="U200" s="20">
        <v>295.70340252767187</v>
      </c>
    </row>
    <row r="201" spans="15:21" x14ac:dyDescent="0.35">
      <c r="O201" s="18">
        <v>5</v>
      </c>
      <c r="P201" s="18">
        <f t="shared" si="26"/>
        <v>995</v>
      </c>
      <c r="Q201" s="3">
        <f t="shared" si="29"/>
        <v>6.1051439254618148E-5</v>
      </c>
      <c r="R201" s="3">
        <f t="shared" si="25"/>
        <v>3.0525719627309074E-4</v>
      </c>
      <c r="S201" s="3">
        <f t="shared" si="27"/>
        <v>0.13627588886412104</v>
      </c>
      <c r="T201" s="20">
        <f t="shared" si="28"/>
        <v>1.2210287850923629</v>
      </c>
      <c r="U201" s="20">
        <v>295.67528996993462</v>
      </c>
    </row>
    <row r="202" spans="15:21" x14ac:dyDescent="0.35">
      <c r="O202" s="18">
        <v>5</v>
      </c>
      <c r="P202" s="18">
        <f t="shared" si="26"/>
        <v>1000</v>
      </c>
      <c r="Q202" s="3">
        <f t="shared" si="29"/>
        <v>6.0787950087354187E-5</v>
      </c>
      <c r="R202" s="3">
        <f t="shared" si="25"/>
        <v>3.0393975043677092E-4</v>
      </c>
      <c r="S202" s="3">
        <f t="shared" si="27"/>
        <v>0.13658114606039412</v>
      </c>
      <c r="T202" s="20">
        <f t="shared" si="28"/>
        <v>1.2157590017470838</v>
      </c>
      <c r="U202" s="20">
        <v>295.6473903861301</v>
      </c>
    </row>
    <row r="203" spans="15:21" x14ac:dyDescent="0.35">
      <c r="O203" s="18">
        <v>5</v>
      </c>
      <c r="P203" s="18">
        <f t="shared" si="26"/>
        <v>1005</v>
      </c>
      <c r="Q203" s="3">
        <f t="shared" si="29"/>
        <v>6.0526453300648282E-5</v>
      </c>
      <c r="R203" s="3">
        <f t="shared" si="25"/>
        <v>3.026322665032414E-4</v>
      </c>
      <c r="S203" s="3">
        <f t="shared" si="27"/>
        <v>0.13688508581083089</v>
      </c>
      <c r="T203" s="20">
        <f t="shared" si="28"/>
        <v>1.2105290660129657</v>
      </c>
      <c r="U203" s="20">
        <v>295.61970111812121</v>
      </c>
    </row>
    <row r="204" spans="15:21" x14ac:dyDescent="0.35">
      <c r="O204" s="18">
        <v>5</v>
      </c>
      <c r="P204" s="18">
        <f t="shared" si="26"/>
        <v>1010</v>
      </c>
      <c r="Q204" s="3">
        <f t="shared" si="29"/>
        <v>6.0266925138784416E-5</v>
      </c>
      <c r="R204" s="3">
        <f t="shared" si="25"/>
        <v>3.0133462569392207E-4</v>
      </c>
      <c r="S204" s="3">
        <f t="shared" si="27"/>
        <v>0.13718771807733413</v>
      </c>
      <c r="T204" s="20">
        <f t="shared" si="28"/>
        <v>1.2053385027756884</v>
      </c>
      <c r="U204" s="20">
        <v>295.5922197694648</v>
      </c>
    </row>
    <row r="205" spans="15:21" x14ac:dyDescent="0.35">
      <c r="O205" s="18">
        <v>5</v>
      </c>
      <c r="P205" s="18">
        <f t="shared" si="26"/>
        <v>1015</v>
      </c>
      <c r="Q205" s="3">
        <f t="shared" si="29"/>
        <v>6.0009342238868085E-5</v>
      </c>
      <c r="R205" s="3">
        <f t="shared" si="25"/>
        <v>3.0004671119434045E-4</v>
      </c>
      <c r="S205" s="3">
        <f t="shared" si="27"/>
        <v>0.13748905270302805</v>
      </c>
      <c r="T205" s="20">
        <f t="shared" si="28"/>
        <v>1.2001868447773616</v>
      </c>
      <c r="U205" s="20">
        <v>295.56494382727556</v>
      </c>
    </row>
    <row r="206" spans="15:21" x14ac:dyDescent="0.35">
      <c r="O206" s="18">
        <v>5</v>
      </c>
      <c r="P206" s="18">
        <f t="shared" si="26"/>
        <v>1020</v>
      </c>
      <c r="Q206" s="3">
        <f t="shared" si="29"/>
        <v>5.9753681622522926E-5</v>
      </c>
      <c r="R206" s="3">
        <f t="shared" si="25"/>
        <v>2.9876840811261465E-4</v>
      </c>
      <c r="S206" s="3">
        <f t="shared" si="27"/>
        <v>0.1377890994142224</v>
      </c>
      <c r="T206" s="20">
        <f t="shared" si="28"/>
        <v>1.1950736324504585</v>
      </c>
      <c r="U206" s="20">
        <v>295.5378708895206</v>
      </c>
    </row>
    <row r="207" spans="15:21" x14ac:dyDescent="0.35">
      <c r="O207" s="18">
        <v>5</v>
      </c>
      <c r="P207" s="18">
        <f t="shared" si="26"/>
        <v>1025</v>
      </c>
      <c r="Q207" s="3">
        <f t="shared" si="29"/>
        <v>5.9499920687800786E-5</v>
      </c>
      <c r="R207" s="3">
        <f t="shared" si="25"/>
        <v>2.9749960343900396E-4</v>
      </c>
      <c r="S207" s="3">
        <f t="shared" si="27"/>
        <v>0.13808786782233501</v>
      </c>
      <c r="T207" s="20">
        <f t="shared" si="28"/>
        <v>1.1899984137560156</v>
      </c>
      <c r="U207" s="20">
        <v>295.51099860851781</v>
      </c>
    </row>
    <row r="208" spans="15:21" x14ac:dyDescent="0.35">
      <c r="O208" s="18">
        <v>5</v>
      </c>
      <c r="P208" s="18">
        <f t="shared" si="26"/>
        <v>1030</v>
      </c>
      <c r="Q208" s="3">
        <f t="shared" si="29"/>
        <v>5.9248037201298736E-5</v>
      </c>
      <c r="R208" s="3">
        <f t="shared" si="25"/>
        <v>2.9624018600649365E-4</v>
      </c>
      <c r="S208" s="3">
        <f t="shared" si="27"/>
        <v>0.13838536742577401</v>
      </c>
      <c r="T208" s="20">
        <f t="shared" si="28"/>
        <v>1.1849607440259748</v>
      </c>
      <c r="U208" s="20">
        <v>295.48432452708755</v>
      </c>
    </row>
    <row r="209" spans="15:21" x14ac:dyDescent="0.35">
      <c r="O209" s="18">
        <v>5</v>
      </c>
      <c r="P209" s="18">
        <f t="shared" si="26"/>
        <v>1035</v>
      </c>
      <c r="Q209" s="3">
        <f t="shared" si="29"/>
        <v>5.8998009290476896E-5</v>
      </c>
      <c r="R209" s="3">
        <f t="shared" si="25"/>
        <v>2.9499004645238449E-4</v>
      </c>
      <c r="S209" s="3">
        <f t="shared" si="27"/>
        <v>0.1386816076117805</v>
      </c>
      <c r="T209" s="20">
        <f t="shared" si="28"/>
        <v>1.1799601858095379</v>
      </c>
      <c r="U209" s="20">
        <v>295.45784648277561</v>
      </c>
    </row>
    <row r="210" spans="15:21" x14ac:dyDescent="0.35">
      <c r="O210" s="18">
        <v>5</v>
      </c>
      <c r="P210" s="18">
        <f t="shared" si="26"/>
        <v>1040</v>
      </c>
      <c r="Q210" s="3">
        <f t="shared" si="29"/>
        <v>5.8749815436170867E-5</v>
      </c>
      <c r="R210" s="3">
        <f t="shared" si="25"/>
        <v>2.9374907718085431E-4</v>
      </c>
      <c r="S210" s="3">
        <f t="shared" si="27"/>
        <v>0.13897659765823289</v>
      </c>
      <c r="T210" s="20">
        <f t="shared" si="28"/>
        <v>1.1749963087234174</v>
      </c>
      <c r="U210" s="20">
        <v>295.43156210958108</v>
      </c>
    </row>
    <row r="211" spans="15:21" x14ac:dyDescent="0.35">
      <c r="O211" s="18">
        <v>5</v>
      </c>
      <c r="P211" s="18">
        <f t="shared" si="26"/>
        <v>1045</v>
      </c>
      <c r="Q211" s="3">
        <f t="shared" si="29"/>
        <v>5.8503434465293303E-5</v>
      </c>
      <c r="R211" s="3">
        <f t="shared" si="25"/>
        <v>2.9251717232646652E-4</v>
      </c>
      <c r="S211" s="3">
        <f t="shared" si="27"/>
        <v>0.13927034673541375</v>
      </c>
      <c r="T211" s="20">
        <f t="shared" si="28"/>
        <v>1.170068689305866</v>
      </c>
      <c r="U211" s="20">
        <v>295.40546919293843</v>
      </c>
    </row>
    <row r="212" spans="15:21" x14ac:dyDescent="0.35">
      <c r="O212" s="18">
        <v>5</v>
      </c>
      <c r="P212" s="18">
        <f t="shared" si="26"/>
        <v>1050</v>
      </c>
      <c r="Q212" s="3">
        <f t="shared" si="29"/>
        <v>5.8258845543718508E-5</v>
      </c>
      <c r="R212" s="3">
        <f t="shared" si="25"/>
        <v>2.9129422771859256E-4</v>
      </c>
      <c r="S212" s="3">
        <f t="shared" si="27"/>
        <v>0.13956286390774023</v>
      </c>
      <c r="T212" s="20">
        <f t="shared" si="28"/>
        <v>1.1651769108743701</v>
      </c>
      <c r="U212" s="20">
        <v>295.37956564609175</v>
      </c>
    </row>
    <row r="213" spans="15:21" x14ac:dyDescent="0.35">
      <c r="O213" s="18">
        <v>5</v>
      </c>
      <c r="P213" s="18">
        <f t="shared" si="26"/>
        <v>1055</v>
      </c>
      <c r="Q213" s="3">
        <f t="shared" si="29"/>
        <v>5.8016028169345269E-5</v>
      </c>
      <c r="R213" s="3">
        <f t="shared" si="25"/>
        <v>2.9008014084672633E-4</v>
      </c>
      <c r="S213" s="3">
        <f t="shared" si="27"/>
        <v>0.13985415813545882</v>
      </c>
      <c r="T213" s="20">
        <f t="shared" si="28"/>
        <v>1.1603205633869054</v>
      </c>
      <c r="U213" s="20">
        <v>295.3538490816901</v>
      </c>
    </row>
    <row r="214" spans="15:21" x14ac:dyDescent="0.35">
      <c r="O214" s="18">
        <v>5</v>
      </c>
      <c r="P214" s="18">
        <f t="shared" si="26"/>
        <v>1060</v>
      </c>
      <c r="Q214" s="3">
        <f t="shared" si="29"/>
        <v>5.777496216533206E-5</v>
      </c>
      <c r="R214" s="3">
        <f t="shared" si="25"/>
        <v>2.8887481082666032E-4</v>
      </c>
      <c r="S214" s="3">
        <f t="shared" si="27"/>
        <v>0.14014423827630554</v>
      </c>
      <c r="T214" s="20">
        <f t="shared" si="28"/>
        <v>1.1554992433066411</v>
      </c>
      <c r="U214" s="20">
        <v>295.32831760417054</v>
      </c>
    </row>
    <row r="215" spans="15:21" x14ac:dyDescent="0.35">
      <c r="O215" s="18">
        <v>5</v>
      </c>
      <c r="P215" s="18">
        <f t="shared" si="26"/>
        <v>1065</v>
      </c>
      <c r="Q215" s="3">
        <f t="shared" si="29"/>
        <v>5.753562767350008E-5</v>
      </c>
      <c r="R215" s="3">
        <f t="shared" si="25"/>
        <v>2.8767813836750038E-4</v>
      </c>
      <c r="S215" s="3">
        <f t="shared" si="27"/>
        <v>0.14043311308713219</v>
      </c>
      <c r="T215" s="20">
        <f t="shared" si="28"/>
        <v>1.1507125534700016</v>
      </c>
      <c r="U215" s="20">
        <v>295.30296900154627</v>
      </c>
    </row>
    <row r="216" spans="15:21" x14ac:dyDescent="0.35">
      <c r="O216" s="18">
        <v>5</v>
      </c>
      <c r="P216" s="18">
        <f t="shared" si="26"/>
        <v>1070</v>
      </c>
      <c r="Q216" s="3">
        <f t="shared" si="29"/>
        <v>5.729800514789885E-5</v>
      </c>
      <c r="R216" s="3">
        <f t="shared" si="25"/>
        <v>2.8649002573949423E-4</v>
      </c>
      <c r="S216" s="3">
        <f t="shared" si="27"/>
        <v>0.14072079122549969</v>
      </c>
      <c r="T216" s="20">
        <f t="shared" si="28"/>
        <v>1.1459601029579769</v>
      </c>
      <c r="U216" s="20">
        <v>295.27780122434109</v>
      </c>
    </row>
    <row r="217" spans="15:21" x14ac:dyDescent="0.35">
      <c r="O217" s="18">
        <v>5</v>
      </c>
      <c r="P217" s="18">
        <f t="shared" si="26"/>
        <v>1075</v>
      </c>
      <c r="Q217" s="3">
        <f t="shared" si="29"/>
        <v>5.7062075348530018E-5</v>
      </c>
      <c r="R217" s="3">
        <f t="shared" si="25"/>
        <v>2.8531037674265009E-4</v>
      </c>
      <c r="S217" s="3">
        <f t="shared" si="27"/>
        <v>0.14100728125123918</v>
      </c>
      <c r="T217" s="20">
        <f t="shared" si="28"/>
        <v>1.1412415069706003</v>
      </c>
      <c r="U217" s="20">
        <v>295.25281229691745</v>
      </c>
    </row>
    <row r="218" spans="15:21" x14ac:dyDescent="0.35">
      <c r="O218" s="18">
        <v>5</v>
      </c>
      <c r="P218" s="18">
        <f t="shared" si="26"/>
        <v>1080</v>
      </c>
      <c r="Q218" s="3">
        <f t="shared" si="29"/>
        <v>5.6827819335224378E-5</v>
      </c>
      <c r="R218" s="3">
        <f t="shared" si="25"/>
        <v>2.841390966761219E-4</v>
      </c>
      <c r="S218" s="3">
        <f t="shared" si="27"/>
        <v>0.14129259162798183</v>
      </c>
      <c r="T218" s="20">
        <f t="shared" si="28"/>
        <v>1.1365563867044877</v>
      </c>
      <c r="U218" s="20">
        <v>295.22800018497247</v>
      </c>
    </row>
    <row r="219" spans="15:21" x14ac:dyDescent="0.35">
      <c r="O219" s="18">
        <v>5</v>
      </c>
      <c r="P219" s="18">
        <f t="shared" si="26"/>
        <v>1085</v>
      </c>
      <c r="Q219" s="3">
        <f t="shared" si="29"/>
        <v>5.6595218461668178E-5</v>
      </c>
      <c r="R219" s="3">
        <f t="shared" si="25"/>
        <v>2.8297609230834087E-4</v>
      </c>
      <c r="S219" s="3">
        <f t="shared" si="27"/>
        <v>0.14157673072465796</v>
      </c>
      <c r="T219" s="20">
        <f t="shared" si="28"/>
        <v>1.1319043692333637</v>
      </c>
      <c r="U219" s="20">
        <v>295.20336288952103</v>
      </c>
    </row>
    <row r="220" spans="15:21" x14ac:dyDescent="0.35">
      <c r="O220" s="18">
        <v>5</v>
      </c>
      <c r="P220" s="18">
        <f t="shared" si="26"/>
        <v>1090</v>
      </c>
      <c r="Q220" s="3">
        <f t="shared" si="29"/>
        <v>5.6364254369573905E-5</v>
      </c>
      <c r="R220" s="3">
        <f t="shared" si="25"/>
        <v>2.8182127184786954E-4</v>
      </c>
      <c r="S220" s="3">
        <f t="shared" si="27"/>
        <v>0.1418597068169663</v>
      </c>
      <c r="T220" s="20">
        <f t="shared" si="28"/>
        <v>1.1272850873914781</v>
      </c>
      <c r="U220" s="20">
        <v>295.17889858335514</v>
      </c>
    </row>
    <row r="221" spans="15:21" x14ac:dyDescent="0.35">
      <c r="O221" s="18">
        <v>5</v>
      </c>
      <c r="P221" s="18">
        <f t="shared" si="26"/>
        <v>1095</v>
      </c>
      <c r="Q221" s="3">
        <f t="shared" si="29"/>
        <v>5.6134908982991953E-5</v>
      </c>
      <c r="R221" s="3">
        <f t="shared" si="25"/>
        <v>2.8067454491495974E-4</v>
      </c>
      <c r="S221" s="3">
        <f t="shared" si="27"/>
        <v>0.14214152808881417</v>
      </c>
      <c r="T221" s="20">
        <f t="shared" si="28"/>
        <v>1.122698179659839</v>
      </c>
      <c r="U221" s="20">
        <v>295.15460520382811</v>
      </c>
    </row>
    <row r="222" spans="15:21" x14ac:dyDescent="0.35">
      <c r="O222" s="18">
        <v>5</v>
      </c>
      <c r="P222" s="18">
        <f t="shared" si="26"/>
        <v>1100</v>
      </c>
      <c r="Q222" s="3">
        <f t="shared" si="29"/>
        <v>5.5907164502758785E-5</v>
      </c>
      <c r="R222" s="3">
        <f t="shared" si="25"/>
        <v>2.7953582251379392E-4</v>
      </c>
      <c r="S222" s="3">
        <f t="shared" si="27"/>
        <v>0.14242220263372912</v>
      </c>
      <c r="T222" s="20">
        <f t="shared" si="28"/>
        <v>1.1181432900551755</v>
      </c>
      <c r="U222" s="20">
        <v>295.1304810239937</v>
      </c>
    </row>
    <row r="223" spans="15:21" x14ac:dyDescent="0.35">
      <c r="O223" s="18">
        <v>5</v>
      </c>
      <c r="P223" s="18">
        <f t="shared" si="26"/>
        <v>1105</v>
      </c>
      <c r="Q223" s="3">
        <f t="shared" si="29"/>
        <v>5.5681003401077967E-5</v>
      </c>
      <c r="R223" s="3">
        <f t="shared" si="25"/>
        <v>2.7840501700538984E-4</v>
      </c>
      <c r="S223" s="3">
        <f t="shared" si="27"/>
        <v>0.14270173845624293</v>
      </c>
      <c r="T223" s="20">
        <f t="shared" si="28"/>
        <v>1.1136200680215593</v>
      </c>
      <c r="U223" s="20">
        <v>295.10652409896818</v>
      </c>
    </row>
    <row r="224" spans="15:21" x14ac:dyDescent="0.35">
      <c r="O224" s="18">
        <v>5</v>
      </c>
      <c r="P224" s="18">
        <f t="shared" si="26"/>
        <v>1110</v>
      </c>
      <c r="Q224" s="3">
        <f t="shared" si="29"/>
        <v>5.545640841623021E-5</v>
      </c>
      <c r="R224" s="3">
        <f t="shared" si="25"/>
        <v>2.7728204208115107E-4</v>
      </c>
      <c r="S224" s="3">
        <f t="shared" si="27"/>
        <v>0.14298014347324831</v>
      </c>
      <c r="T224" s="20">
        <f t="shared" si="28"/>
        <v>1.1091281683246044</v>
      </c>
      <c r="U224" s="20">
        <v>295.08273272304314</v>
      </c>
    </row>
    <row r="225" spans="15:21" x14ac:dyDescent="0.35">
      <c r="O225" s="18">
        <v>5</v>
      </c>
      <c r="P225" s="18">
        <f t="shared" si="26"/>
        <v>1115</v>
      </c>
      <c r="Q225" s="3">
        <f t="shared" si="29"/>
        <v>5.5233362547408799E-5</v>
      </c>
      <c r="R225" s="3">
        <f t="shared" si="25"/>
        <v>2.76166812737044E-4</v>
      </c>
      <c r="S225" s="3">
        <f t="shared" si="27"/>
        <v>0.14325742551532947</v>
      </c>
      <c r="T225" s="20">
        <f t="shared" si="28"/>
        <v>1.1046672509481759</v>
      </c>
      <c r="U225" s="20">
        <v>295.05910491407417</v>
      </c>
    </row>
    <row r="226" spans="15:21" x14ac:dyDescent="0.35">
      <c r="O226" s="18">
        <v>5</v>
      </c>
      <c r="P226" s="18">
        <f t="shared" si="26"/>
        <v>1120</v>
      </c>
      <c r="Q226" s="3">
        <f t="shared" si="29"/>
        <v>5.5011849049677108E-5</v>
      </c>
      <c r="R226" s="3">
        <f t="shared" si="25"/>
        <v>2.7505924524838553E-4</v>
      </c>
      <c r="S226" s="3">
        <f t="shared" si="27"/>
        <v>0.14353359232806651</v>
      </c>
      <c r="T226" s="20">
        <f t="shared" si="28"/>
        <v>1.1002369809935422</v>
      </c>
      <c r="U226" s="20">
        <v>295.03563910564469</v>
      </c>
    </row>
    <row r="227" spans="15:21" x14ac:dyDescent="0.35">
      <c r="O227" s="18">
        <v>5</v>
      </c>
      <c r="P227" s="18">
        <f t="shared" si="26"/>
        <v>1125</v>
      </c>
      <c r="Q227" s="3">
        <f t="shared" si="29"/>
        <v>5.4791851429044393E-5</v>
      </c>
      <c r="R227" s="3">
        <f t="shared" si="25"/>
        <v>2.7395925714522194E-4</v>
      </c>
      <c r="S227" s="3">
        <f t="shared" si="27"/>
        <v>0.14380865157331491</v>
      </c>
      <c r="T227" s="20">
        <f t="shared" si="28"/>
        <v>1.0958370285808878</v>
      </c>
      <c r="U227" s="20">
        <v>295.01233341109469</v>
      </c>
    </row>
    <row r="228" spans="15:21" x14ac:dyDescent="0.35">
      <c r="O228" s="18">
        <v>5</v>
      </c>
      <c r="P228" s="18">
        <f t="shared" si="26"/>
        <v>1130</v>
      </c>
      <c r="Q228" s="3">
        <f t="shared" si="29"/>
        <v>5.4573353437657221E-5</v>
      </c>
      <c r="R228" s="3">
        <f t="shared" si="25"/>
        <v>2.7286676718828612E-4</v>
      </c>
      <c r="S228" s="3">
        <f t="shared" si="27"/>
        <v>0.14408261083046012</v>
      </c>
      <c r="T228" s="20">
        <f t="shared" si="28"/>
        <v>1.0914670687531443</v>
      </c>
      <c r="U228" s="20">
        <v>294.98918621296167</v>
      </c>
    </row>
    <row r="229" spans="15:21" x14ac:dyDescent="0.35">
      <c r="O229" s="18">
        <v>5</v>
      </c>
      <c r="P229" s="18">
        <f t="shared" si="26"/>
        <v>1135</v>
      </c>
      <c r="Q229" s="3">
        <f t="shared" si="29"/>
        <v>5.4356339069102594E-5</v>
      </c>
      <c r="R229" s="3">
        <f t="shared" si="25"/>
        <v>2.7178169534551296E-4</v>
      </c>
      <c r="S229" s="3">
        <f t="shared" si="27"/>
        <v>0.14435547759764841</v>
      </c>
      <c r="T229" s="20">
        <f t="shared" si="28"/>
        <v>1.0871267813820518</v>
      </c>
      <c r="U229" s="20">
        <v>294.96619585222061</v>
      </c>
    </row>
    <row r="230" spans="15:21" x14ac:dyDescent="0.35">
      <c r="O230" s="18">
        <v>5</v>
      </c>
      <c r="P230" s="18">
        <f t="shared" si="26"/>
        <v>1140</v>
      </c>
      <c r="Q230" s="3">
        <f t="shared" si="29"/>
        <v>5.4140792553820417E-5</v>
      </c>
      <c r="R230" s="3">
        <f t="shared" si="25"/>
        <v>2.7070396276910209E-4</v>
      </c>
      <c r="S230" s="3">
        <f t="shared" si="27"/>
        <v>0.14462725929299391</v>
      </c>
      <c r="T230" s="20">
        <f t="shared" si="28"/>
        <v>1.0828158510764083</v>
      </c>
      <c r="U230" s="20">
        <v>294.94336054223703</v>
      </c>
    </row>
    <row r="231" spans="15:21" x14ac:dyDescent="0.35">
      <c r="O231" s="18">
        <v>5</v>
      </c>
      <c r="P231" s="18">
        <f t="shared" si="26"/>
        <v>1145</v>
      </c>
      <c r="Q231" s="3">
        <f t="shared" si="29"/>
        <v>5.3926698354621769E-5</v>
      </c>
      <c r="R231" s="3">
        <f t="shared" si="25"/>
        <v>2.6963349177310886E-4</v>
      </c>
      <c r="S231" s="3">
        <f t="shared" si="27"/>
        <v>0.14489796325576301</v>
      </c>
      <c r="T231" s="20">
        <f t="shared" si="28"/>
        <v>1.0785339670924354</v>
      </c>
      <c r="U231" s="20">
        <v>294.92067868428552</v>
      </c>
    </row>
    <row r="232" spans="15:21" x14ac:dyDescent="0.35">
      <c r="O232" s="18">
        <v>5</v>
      </c>
      <c r="P232" s="18">
        <f t="shared" si="26"/>
        <v>1150</v>
      </c>
      <c r="Q232" s="3">
        <f t="shared" si="29"/>
        <v>5.3714041162310534E-5</v>
      </c>
      <c r="R232" s="3">
        <f t="shared" si="25"/>
        <v>2.6857020581155268E-4</v>
      </c>
      <c r="S232" s="3">
        <f t="shared" si="27"/>
        <v>0.14516759674753613</v>
      </c>
      <c r="T232" s="20">
        <f t="shared" si="28"/>
        <v>1.0742808232462107</v>
      </c>
      <c r="U232" s="20">
        <v>294.8981487003274</v>
      </c>
    </row>
    <row r="233" spans="15:21" x14ac:dyDescent="0.35">
      <c r="O233" s="18">
        <v>5</v>
      </c>
      <c r="P233" s="18">
        <f t="shared" si="26"/>
        <v>1155</v>
      </c>
      <c r="Q233" s="3">
        <f t="shared" si="29"/>
        <v>5.3502805891405221E-5</v>
      </c>
      <c r="R233" s="3">
        <f t="shared" si="25"/>
        <v>2.6751402945702612E-4</v>
      </c>
      <c r="S233" s="3">
        <f t="shared" si="27"/>
        <v>0.14543616695334768</v>
      </c>
      <c r="T233" s="20">
        <f t="shared" si="28"/>
        <v>1.0700561178281045</v>
      </c>
      <c r="U233" s="20">
        <v>294.87576899201673</v>
      </c>
    </row>
    <row r="234" spans="15:21" x14ac:dyDescent="0.35">
      <c r="O234" s="18">
        <v>5</v>
      </c>
      <c r="P234" s="18">
        <f t="shared" si="26"/>
        <v>1160</v>
      </c>
      <c r="Q234" s="3">
        <f t="shared" si="29"/>
        <v>5.3292977675958533E-5</v>
      </c>
      <c r="R234" s="3">
        <f t="shared" si="25"/>
        <v>2.6646488837979269E-4</v>
      </c>
      <c r="S234" s="3">
        <f t="shared" si="27"/>
        <v>0.1457036809828047</v>
      </c>
      <c r="T234" s="20">
        <f t="shared" si="28"/>
        <v>1.0658595535191708</v>
      </c>
      <c r="U234" s="20">
        <v>294.85353802175115</v>
      </c>
    </row>
    <row r="235" spans="15:21" x14ac:dyDescent="0.35">
      <c r="O235" s="18">
        <v>5</v>
      </c>
      <c r="P235" s="18">
        <f t="shared" si="26"/>
        <v>1165</v>
      </c>
      <c r="Q235" s="3">
        <f t="shared" si="29"/>
        <v>5.3084541865471989E-5</v>
      </c>
      <c r="R235" s="3">
        <f t="shared" si="25"/>
        <v>2.6542270932735995E-4</v>
      </c>
      <c r="S235" s="3">
        <f t="shared" si="27"/>
        <v>0.14597014587118448</v>
      </c>
      <c r="T235" s="20">
        <f t="shared" si="28"/>
        <v>1.0616908373094398</v>
      </c>
      <c r="U235" s="20">
        <v>294.83145419171541</v>
      </c>
    </row>
    <row r="236" spans="15:21" x14ac:dyDescent="0.35">
      <c r="O236" s="18">
        <v>5</v>
      </c>
      <c r="P236" s="18">
        <f t="shared" si="26"/>
        <v>1170</v>
      </c>
      <c r="Q236" s="3">
        <f t="shared" si="29"/>
        <v>5.2877484020902882E-5</v>
      </c>
      <c r="R236" s="3">
        <f t="shared" si="25"/>
        <v>2.6438742010451442E-4</v>
      </c>
      <c r="S236" s="3">
        <f t="shared" si="27"/>
        <v>0.14623556858051184</v>
      </c>
      <c r="T236" s="20">
        <f t="shared" si="28"/>
        <v>1.0575496804180577</v>
      </c>
      <c r="U236" s="20">
        <v>294.8095160022873</v>
      </c>
    </row>
    <row r="237" spans="15:21" x14ac:dyDescent="0.35">
      <c r="O237" s="18">
        <v>5</v>
      </c>
      <c r="P237" s="18">
        <f t="shared" si="26"/>
        <v>1175</v>
      </c>
      <c r="Q237" s="3">
        <f t="shared" si="29"/>
        <v>5.2671789910761568E-5</v>
      </c>
      <c r="R237" s="3">
        <f t="shared" si="25"/>
        <v>2.6335894955380787E-4</v>
      </c>
      <c r="S237" s="3">
        <f t="shared" si="27"/>
        <v>0.14649995600061635</v>
      </c>
      <c r="T237" s="20">
        <f t="shared" si="28"/>
        <v>1.0534357982152314</v>
      </c>
      <c r="U237" s="20">
        <v>294.7877219145322</v>
      </c>
    </row>
    <row r="238" spans="15:21" x14ac:dyDescent="0.35">
      <c r="O238" s="18">
        <v>5</v>
      </c>
      <c r="P238" s="18">
        <f t="shared" si="26"/>
        <v>1180</v>
      </c>
      <c r="Q238" s="3">
        <f t="shared" si="29"/>
        <v>5.2467445507296003E-5</v>
      </c>
      <c r="R238" s="3">
        <f t="shared" si="25"/>
        <v>2.6233722753648002E-4</v>
      </c>
      <c r="S238" s="3">
        <f t="shared" si="27"/>
        <v>0.14676331495017017</v>
      </c>
      <c r="T238" s="20">
        <f t="shared" si="28"/>
        <v>1.0493489101459199</v>
      </c>
      <c r="U238" s="20">
        <v>294.76607051545142</v>
      </c>
    </row>
    <row r="239" spans="15:21" x14ac:dyDescent="0.35">
      <c r="O239" s="18">
        <v>5</v>
      </c>
      <c r="P239" s="18">
        <f t="shared" si="26"/>
        <v>1185</v>
      </c>
      <c r="Q239" s="3">
        <f t="shared" si="29"/>
        <v>5.2264436982761953E-5</v>
      </c>
      <c r="R239" s="3">
        <f t="shared" si="25"/>
        <v>2.6132218491380977E-4</v>
      </c>
      <c r="S239" s="3">
        <f t="shared" si="27"/>
        <v>0.14702565217770666</v>
      </c>
      <c r="T239" s="20">
        <f t="shared" si="28"/>
        <v>1.0452887396552391</v>
      </c>
      <c r="U239" s="20">
        <v>294.74456032901628</v>
      </c>
    </row>
    <row r="240" spans="15:21" x14ac:dyDescent="0.35">
      <c r="O240" s="18">
        <v>5</v>
      </c>
      <c r="P240" s="18">
        <f t="shared" si="26"/>
        <v>1190</v>
      </c>
      <c r="Q240" s="3">
        <f t="shared" si="29"/>
        <v>5.206275070577607E-5</v>
      </c>
      <c r="R240" s="3">
        <f t="shared" si="25"/>
        <v>2.6031375352888032E-4</v>
      </c>
      <c r="S240" s="3">
        <f t="shared" si="27"/>
        <v>0.14728697436262048</v>
      </c>
      <c r="T240" s="20">
        <f t="shared" si="28"/>
        <v>1.0412550141155215</v>
      </c>
      <c r="U240" s="20">
        <v>294.72318989294234</v>
      </c>
    </row>
    <row r="241" spans="15:21" x14ac:dyDescent="0.35">
      <c r="O241" s="18">
        <v>5</v>
      </c>
      <c r="P241" s="18">
        <f t="shared" si="26"/>
        <v>1195</v>
      </c>
      <c r="Q241" s="3">
        <f t="shared" si="29"/>
        <v>5.186237323774991E-5</v>
      </c>
      <c r="R241" s="3">
        <f t="shared" si="25"/>
        <v>2.5931186618874955E-4</v>
      </c>
      <c r="S241" s="3">
        <f t="shared" si="27"/>
        <v>0.14754728811614937</v>
      </c>
      <c r="T241" s="20">
        <f t="shared" si="28"/>
        <v>1.0372474647549983</v>
      </c>
      <c r="U241" s="20">
        <v>294.70195778586532</v>
      </c>
    </row>
    <row r="242" spans="15:21" x14ac:dyDescent="0.35">
      <c r="O242" s="18">
        <v>5</v>
      </c>
      <c r="P242" s="18">
        <f t="shared" si="26"/>
        <v>1200</v>
      </c>
      <c r="Q242" s="3">
        <f t="shared" si="29"/>
        <v>5.1663291329402825E-5</v>
      </c>
      <c r="R242" s="3">
        <f t="shared" si="25"/>
        <v>2.5831645664701412E-4</v>
      </c>
      <c r="S242" s="3">
        <f t="shared" si="27"/>
        <v>0.14780659998233811</v>
      </c>
      <c r="T242" s="20">
        <f t="shared" si="28"/>
        <v>1.0332658265880565</v>
      </c>
      <c r="U242" s="20">
        <v>294.68086264101868</v>
      </c>
    </row>
    <row r="243" spans="15:21" x14ac:dyDescent="0.35">
      <c r="O243" s="18">
        <v>5</v>
      </c>
      <c r="P243" s="18">
        <f t="shared" si="26"/>
        <v>1205</v>
      </c>
      <c r="Q243" s="3">
        <f t="shared" si="29"/>
        <v>5.146549191735146E-5</v>
      </c>
      <c r="R243" s="3">
        <f t="shared" si="25"/>
        <v>2.5732745958675728E-4</v>
      </c>
      <c r="S243" s="3">
        <f t="shared" si="27"/>
        <v>0.14806491643898512</v>
      </c>
      <c r="T243" s="20">
        <f t="shared" si="28"/>
        <v>1.0293098383470294</v>
      </c>
      <c r="U243" s="20">
        <v>294.65990306641635</v>
      </c>
    </row>
    <row r="244" spans="15:21" x14ac:dyDescent="0.35">
      <c r="O244" s="18">
        <v>5</v>
      </c>
      <c r="P244" s="18">
        <f t="shared" si="26"/>
        <v>1210</v>
      </c>
      <c r="Q244" s="3">
        <f t="shared" si="29"/>
        <v>5.1268962120774094E-5</v>
      </c>
      <c r="R244" s="3">
        <f t="shared" si="25"/>
        <v>2.5634481060387047E-4</v>
      </c>
      <c r="S244" s="3">
        <f t="shared" si="27"/>
        <v>0.14832224389857188</v>
      </c>
      <c r="T244" s="20">
        <f t="shared" si="28"/>
        <v>1.0253792424154817</v>
      </c>
      <c r="U244" s="20">
        <v>294.63907770389062</v>
      </c>
    </row>
    <row r="245" spans="15:21" x14ac:dyDescent="0.35">
      <c r="O245" s="18">
        <v>5</v>
      </c>
      <c r="P245" s="18">
        <f t="shared" si="26"/>
        <v>1215</v>
      </c>
      <c r="Q245" s="3">
        <f t="shared" si="29"/>
        <v>5.1073689238147842E-5</v>
      </c>
      <c r="R245" s="3">
        <f t="shared" si="25"/>
        <v>2.5536844619073921E-4</v>
      </c>
      <c r="S245" s="3">
        <f t="shared" si="27"/>
        <v>0.14857858870917576</v>
      </c>
      <c r="T245" s="20">
        <f t="shared" si="28"/>
        <v>1.0214737847629567</v>
      </c>
      <c r="U245" s="20">
        <v>294.61838521355827</v>
      </c>
    </row>
    <row r="246" spans="15:21" x14ac:dyDescent="0.35">
      <c r="O246" s="18">
        <v>5</v>
      </c>
      <c r="P246" s="18">
        <f t="shared" si="26"/>
        <v>1220</v>
      </c>
      <c r="Q246" s="3">
        <f t="shared" si="29"/>
        <v>5.0879660744056655E-5</v>
      </c>
      <c r="R246" s="3">
        <f t="shared" si="25"/>
        <v>2.5439830372028327E-4</v>
      </c>
      <c r="S246" s="3">
        <f t="shared" si="27"/>
        <v>0.14883395715536649</v>
      </c>
      <c r="T246" s="20">
        <f t="shared" si="28"/>
        <v>1.0175932148811333</v>
      </c>
      <c r="U246" s="20">
        <v>294.59782428774281</v>
      </c>
    </row>
    <row r="247" spans="15:21" x14ac:dyDescent="0.35">
      <c r="O247" s="18">
        <v>5</v>
      </c>
      <c r="P247" s="18">
        <f t="shared" si="26"/>
        <v>1225</v>
      </c>
      <c r="Q247" s="3">
        <f t="shared" si="29"/>
        <v>5.0686864286068592E-5</v>
      </c>
      <c r="R247" s="3">
        <f t="shared" si="25"/>
        <v>2.5343432143034298E-4</v>
      </c>
      <c r="S247" s="3">
        <f t="shared" si="27"/>
        <v>0.14908835545908677</v>
      </c>
      <c r="T247" s="20">
        <f t="shared" si="28"/>
        <v>1.013737285721372</v>
      </c>
      <c r="U247" s="20">
        <v>294.57739359304816</v>
      </c>
    </row>
    <row r="248" spans="15:21" x14ac:dyDescent="0.35">
      <c r="O248" s="18">
        <v>5</v>
      </c>
      <c r="P248" s="18">
        <f t="shared" si="26"/>
        <v>1230</v>
      </c>
      <c r="Q248" s="3">
        <f t="shared" si="29"/>
        <v>5.0495287681680449E-5</v>
      </c>
      <c r="R248" s="3">
        <f t="shared" si="25"/>
        <v>2.5247643840840226E-4</v>
      </c>
      <c r="S248" s="3">
        <f t="shared" si="27"/>
        <v>0.14934178978051713</v>
      </c>
      <c r="T248" s="20">
        <f t="shared" si="28"/>
        <v>1.0099057536336089</v>
      </c>
      <c r="U248" s="20">
        <v>294.55709185532965</v>
      </c>
    </row>
    <row r="249" spans="15:21" x14ac:dyDescent="0.35">
      <c r="O249" s="18">
        <v>5</v>
      </c>
      <c r="P249" s="18">
        <f t="shared" si="26"/>
        <v>1235</v>
      </c>
      <c r="Q249" s="3">
        <f t="shared" si="29"/>
        <v>5.0304918915327997E-5</v>
      </c>
      <c r="R249" s="3">
        <f t="shared" si="25"/>
        <v>2.5152459457663997E-4</v>
      </c>
      <c r="S249" s="3">
        <f t="shared" si="27"/>
        <v>0.14959426621892552</v>
      </c>
      <c r="T249" s="20">
        <f t="shared" si="28"/>
        <v>1.0060983783065598</v>
      </c>
      <c r="U249" s="20">
        <v>294.53691782330634</v>
      </c>
    </row>
    <row r="250" spans="15:21" x14ac:dyDescent="0.35">
      <c r="O250" s="18">
        <v>5</v>
      </c>
      <c r="P250" s="18">
        <f t="shared" si="26"/>
        <v>1240</v>
      </c>
      <c r="Q250" s="3">
        <f t="shared" si="29"/>
        <v>5.0115746135460292E-5</v>
      </c>
      <c r="R250" s="3">
        <f t="shared" si="25"/>
        <v>2.5057873067730143E-4</v>
      </c>
      <c r="S250" s="3">
        <f t="shared" si="27"/>
        <v>0.14984579081350216</v>
      </c>
      <c r="T250" s="20">
        <f t="shared" si="28"/>
        <v>1.0023149227092059</v>
      </c>
      <c r="U250" s="20">
        <v>294.51687025586114</v>
      </c>
    </row>
    <row r="251" spans="15:21" x14ac:dyDescent="0.35">
      <c r="O251" s="18">
        <v>5</v>
      </c>
      <c r="P251" s="18">
        <f t="shared" si="26"/>
        <v>1245</v>
      </c>
      <c r="Q251" s="3">
        <f t="shared" si="29"/>
        <v>4.9927757651676259E-5</v>
      </c>
      <c r="R251" s="3">
        <f t="shared" si="25"/>
        <v>2.4963878825838131E-4</v>
      </c>
      <c r="S251" s="3">
        <f t="shared" si="27"/>
        <v>0.15009636954417946</v>
      </c>
      <c r="T251" s="20">
        <f t="shared" si="28"/>
        <v>0.99855515303352516</v>
      </c>
      <c r="U251" s="20">
        <v>294.49694787031552</v>
      </c>
    </row>
    <row r="252" spans="15:21" x14ac:dyDescent="0.35">
      <c r="O252" s="18">
        <v>5</v>
      </c>
      <c r="P252" s="18">
        <f t="shared" si="26"/>
        <v>1250</v>
      </c>
      <c r="Q252" s="3">
        <f t="shared" si="29"/>
        <v>4.9740941931922287E-5</v>
      </c>
      <c r="R252" s="3">
        <f t="shared" si="25"/>
        <v>2.4870470965961144E-4</v>
      </c>
      <c r="S252" s="3">
        <f t="shared" si="27"/>
        <v>0.15034600833243783</v>
      </c>
      <c r="T252" s="20">
        <f t="shared" si="28"/>
        <v>0.99481883863844578</v>
      </c>
      <c r="U252" s="20">
        <v>294.47714948837046</v>
      </c>
    </row>
    <row r="253" spans="15:21" x14ac:dyDescent="0.35">
      <c r="O253" s="18">
        <v>5</v>
      </c>
      <c r="P253" s="18">
        <f t="shared" si="26"/>
        <v>1255</v>
      </c>
      <c r="Q253" s="3">
        <f t="shared" si="29"/>
        <v>4.955528759974893E-5</v>
      </c>
      <c r="R253" s="3">
        <f t="shared" si="25"/>
        <v>2.4777643799874465E-4</v>
      </c>
      <c r="S253" s="3">
        <f t="shared" si="27"/>
        <v>0.15059471304209746</v>
      </c>
      <c r="T253" s="20">
        <f t="shared" si="28"/>
        <v>0.99110575199497863</v>
      </c>
      <c r="U253" s="20">
        <v>294.45747391814922</v>
      </c>
    </row>
    <row r="254" spans="15:21" x14ac:dyDescent="0.35">
      <c r="O254" s="18">
        <v>5</v>
      </c>
      <c r="P254" s="18">
        <f t="shared" si="26"/>
        <v>1260</v>
      </c>
      <c r="Q254" s="3">
        <f t="shared" si="29"/>
        <v>4.9370783431625593E-5</v>
      </c>
      <c r="R254" s="3">
        <f t="shared" si="25"/>
        <v>2.4685391715812798E-4</v>
      </c>
      <c r="S254" s="3">
        <f t="shared" si="27"/>
        <v>0.15084248948009621</v>
      </c>
      <c r="T254" s="20">
        <f t="shared" si="28"/>
        <v>0.98741566863251196</v>
      </c>
      <c r="U254" s="20">
        <v>294.43791996850661</v>
      </c>
    </row>
    <row r="255" spans="15:21" x14ac:dyDescent="0.35">
      <c r="O255" s="18">
        <v>5</v>
      </c>
      <c r="P255" s="18">
        <f t="shared" si="26"/>
        <v>1265</v>
      </c>
      <c r="Q255" s="3">
        <f t="shared" si="29"/>
        <v>4.9187418354311522E-5</v>
      </c>
      <c r="R255" s="3">
        <f t="shared" si="25"/>
        <v>2.4593709177155758E-4</v>
      </c>
      <c r="S255" s="3">
        <f t="shared" si="27"/>
        <v>0.15108934339725433</v>
      </c>
      <c r="T255" s="20">
        <f t="shared" si="28"/>
        <v>0.98374836708623048</v>
      </c>
      <c r="U255" s="20">
        <v>294.41848642440857</v>
      </c>
    </row>
    <row r="256" spans="15:21" x14ac:dyDescent="0.35">
      <c r="O256" s="18">
        <v>5</v>
      </c>
      <c r="P256" s="18">
        <f t="shared" si="26"/>
        <v>1270</v>
      </c>
      <c r="Q256" s="3">
        <f t="shared" si="29"/>
        <v>4.9005181442281754E-5</v>
      </c>
      <c r="R256" s="3">
        <f t="shared" si="25"/>
        <v>2.4502590721140876E-4</v>
      </c>
      <c r="S256" s="3">
        <f t="shared" si="27"/>
        <v>0.15133528048902589</v>
      </c>
      <c r="T256" s="20">
        <f t="shared" si="28"/>
        <v>0.98010362884563518</v>
      </c>
      <c r="U256" s="20">
        <v>294.39917221906808</v>
      </c>
    </row>
    <row r="257" spans="15:21" x14ac:dyDescent="0.35">
      <c r="O257" s="18">
        <v>5</v>
      </c>
      <c r="P257" s="18">
        <f t="shared" si="26"/>
        <v>1275</v>
      </c>
      <c r="Q257" s="3">
        <f t="shared" si="29"/>
        <v>4.8824061915206888E-5</v>
      </c>
      <c r="R257" s="3">
        <f t="shared" si="25"/>
        <v>2.4412030957603444E-4</v>
      </c>
      <c r="S257" s="3">
        <f t="shared" si="27"/>
        <v>0.15158030639623729</v>
      </c>
      <c r="T257" s="20">
        <f t="shared" si="28"/>
        <v>0.9764812383041378</v>
      </c>
      <c r="U257" s="20">
        <v>294.37997610092106</v>
      </c>
    </row>
    <row r="258" spans="15:21" x14ac:dyDescent="0.35">
      <c r="O258" s="18">
        <v>5</v>
      </c>
      <c r="P258" s="18">
        <f t="shared" si="26"/>
        <v>1280</v>
      </c>
      <c r="Q258" s="3">
        <f t="shared" si="29"/>
        <v>4.864404913548491E-5</v>
      </c>
      <c r="R258" s="3">
        <f t="shared" ref="R258:R321" si="30">Q258*O258</f>
        <v>2.4322024567742455E-4</v>
      </c>
      <c r="S258" s="3">
        <f t="shared" si="27"/>
        <v>0.15182442670581334</v>
      </c>
      <c r="T258" s="20">
        <f t="shared" si="28"/>
        <v>0.97288098270969814</v>
      </c>
      <c r="U258" s="20">
        <v>294.36089704578654</v>
      </c>
    </row>
    <row r="259" spans="15:21" x14ac:dyDescent="0.35">
      <c r="O259" s="18">
        <v>5</v>
      </c>
      <c r="P259" s="18">
        <f t="shared" ref="P259:P322" si="31">O259+P258</f>
        <v>1285</v>
      </c>
      <c r="Q259" s="3">
        <f t="shared" si="29"/>
        <v>4.8465132605824451E-5</v>
      </c>
      <c r="R259" s="3">
        <f t="shared" si="30"/>
        <v>2.4232566302912227E-4</v>
      </c>
      <c r="S259" s="3">
        <f t="shared" ref="S259:S322" si="32">S258+R258</f>
        <v>0.15206764695149075</v>
      </c>
      <c r="T259" s="20">
        <f t="shared" ref="T259:T322" si="33">Q259*$B$9*$B$2*0.5/$B$11</f>
        <v>0.96930265211648914</v>
      </c>
      <c r="U259" s="20">
        <v>294.34193394495401</v>
      </c>
    </row>
    <row r="260" spans="15:21" x14ac:dyDescent="0.35">
      <c r="O260" s="18">
        <v>5</v>
      </c>
      <c r="P260" s="18">
        <f t="shared" si="31"/>
        <v>1290</v>
      </c>
      <c r="Q260" s="3">
        <f t="shared" ref="Q260:Q323" si="34">$T$2*(1-(S260/$B$12))/($B$9*((0.5*$B$2/$B$11)+(S260/$B$10)))</f>
        <v>4.8287301966877332E-5</v>
      </c>
      <c r="R260" s="3">
        <f t="shared" si="30"/>
        <v>2.4143650983438666E-4</v>
      </c>
      <c r="S260" s="3">
        <f t="shared" si="32"/>
        <v>0.15230997261451987</v>
      </c>
      <c r="T260" s="20">
        <f t="shared" si="33"/>
        <v>0.96574603933754677</v>
      </c>
      <c r="U260" s="20">
        <v>294.3230856263433</v>
      </c>
    </row>
    <row r="261" spans="15:21" x14ac:dyDescent="0.35">
      <c r="O261" s="18">
        <v>5</v>
      </c>
      <c r="P261" s="18">
        <f t="shared" si="31"/>
        <v>1295</v>
      </c>
      <c r="Q261" s="3">
        <f t="shared" si="34"/>
        <v>4.811054699492027E-5</v>
      </c>
      <c r="R261" s="3">
        <f t="shared" si="30"/>
        <v>2.4055273497460136E-4</v>
      </c>
      <c r="S261" s="3">
        <f t="shared" si="32"/>
        <v>0.15255140912435425</v>
      </c>
      <c r="T261" s="20">
        <f t="shared" si="33"/>
        <v>0.96221093989840545</v>
      </c>
      <c r="U261" s="20">
        <v>294.3043510825031</v>
      </c>
    </row>
    <row r="262" spans="15:21" x14ac:dyDescent="0.35">
      <c r="O262" s="18">
        <v>5</v>
      </c>
      <c r="P262" s="18">
        <f t="shared" si="31"/>
        <v>1300</v>
      </c>
      <c r="Q262" s="3">
        <f t="shared" si="34"/>
        <v>4.7934857599583544E-5</v>
      </c>
      <c r="R262" s="3">
        <f t="shared" si="30"/>
        <v>2.3967428799791772E-4</v>
      </c>
      <c r="S262" s="3">
        <f t="shared" si="32"/>
        <v>0.15279196185932886</v>
      </c>
      <c r="T262" s="20">
        <f t="shared" si="33"/>
        <v>0.95869715199167083</v>
      </c>
      <c r="U262" s="20">
        <v>294.28572927754158</v>
      </c>
    </row>
    <row r="263" spans="15:21" x14ac:dyDescent="0.35">
      <c r="O263" s="18">
        <v>5</v>
      </c>
      <c r="P263" s="18">
        <f t="shared" si="31"/>
        <v>1305</v>
      </c>
      <c r="Q263" s="3">
        <f t="shared" si="34"/>
        <v>4.7760223821626269E-5</v>
      </c>
      <c r="R263" s="3">
        <f t="shared" si="30"/>
        <v>2.3880111910813134E-4</v>
      </c>
      <c r="S263" s="3">
        <f t="shared" si="32"/>
        <v>0.15303163614732679</v>
      </c>
      <c r="T263" s="20">
        <f t="shared" si="33"/>
        <v>0.95520447643252548</v>
      </c>
      <c r="U263" s="20">
        <v>294.26721900858968</v>
      </c>
    </row>
    <row r="264" spans="15:21" x14ac:dyDescent="0.35">
      <c r="O264" s="18">
        <v>5</v>
      </c>
      <c r="P264" s="18">
        <f t="shared" si="31"/>
        <v>1310</v>
      </c>
      <c r="Q264" s="3">
        <f t="shared" si="34"/>
        <v>4.7586635830756638E-5</v>
      </c>
      <c r="R264" s="3">
        <f t="shared" si="30"/>
        <v>2.3793317915378319E-4</v>
      </c>
      <c r="S264" s="3">
        <f t="shared" si="32"/>
        <v>0.15327043726643491</v>
      </c>
      <c r="T264" s="20">
        <f t="shared" si="33"/>
        <v>0.95173271661513281</v>
      </c>
      <c r="U264" s="20">
        <v>294.24881938890331</v>
      </c>
    </row>
    <row r="265" spans="15:21" x14ac:dyDescent="0.35">
      <c r="O265" s="18">
        <v>5</v>
      </c>
      <c r="P265" s="18">
        <f t="shared" si="31"/>
        <v>1315</v>
      </c>
      <c r="Q265" s="3">
        <f t="shared" si="34"/>
        <v>4.7414083923496344E-5</v>
      </c>
      <c r="R265" s="3">
        <f t="shared" si="30"/>
        <v>2.3707041961748172E-4</v>
      </c>
      <c r="S265" s="3">
        <f t="shared" si="32"/>
        <v>0.15350837044558868</v>
      </c>
      <c r="T265" s="20">
        <f t="shared" si="33"/>
        <v>0.94828167846992695</v>
      </c>
      <c r="U265" s="20">
        <v>294.23052936955821</v>
      </c>
    </row>
    <row r="266" spans="15:21" x14ac:dyDescent="0.35">
      <c r="O266" s="18">
        <v>5</v>
      </c>
      <c r="P266" s="18">
        <f t="shared" si="31"/>
        <v>1320</v>
      </c>
      <c r="Q266" s="3">
        <f t="shared" si="34"/>
        <v>4.7242558521087994E-5</v>
      </c>
      <c r="R266" s="3">
        <f t="shared" si="30"/>
        <v>2.3621279260543996E-4</v>
      </c>
      <c r="S266" s="3">
        <f t="shared" si="32"/>
        <v>0.15374544086520617</v>
      </c>
      <c r="T266" s="20">
        <f t="shared" si="33"/>
        <v>0.94485117042175992</v>
      </c>
      <c r="U266" s="20">
        <v>294.21234787757987</v>
      </c>
    </row>
    <row r="267" spans="15:21" x14ac:dyDescent="0.35">
      <c r="O267" s="18">
        <v>5</v>
      </c>
      <c r="P267" s="18">
        <f t="shared" si="31"/>
        <v>1325</v>
      </c>
      <c r="Q267" s="3">
        <f t="shared" si="34"/>
        <v>4.7072050167444667E-5</v>
      </c>
      <c r="R267" s="3">
        <f t="shared" si="30"/>
        <v>2.3536025083722333E-4</v>
      </c>
      <c r="S267" s="3">
        <f t="shared" si="32"/>
        <v>0.15398165365781161</v>
      </c>
      <c r="T267" s="20">
        <f t="shared" si="33"/>
        <v>0.94144100334889347</v>
      </c>
      <c r="U267" s="20">
        <v>294.19427395250869</v>
      </c>
    </row>
    <row r="268" spans="15:21" x14ac:dyDescent="0.35">
      <c r="O268" s="18">
        <v>5</v>
      </c>
      <c r="P268" s="18">
        <f t="shared" si="31"/>
        <v>1330</v>
      </c>
      <c r="Q268" s="3">
        <f t="shared" si="34"/>
        <v>4.6902549527140337E-5</v>
      </c>
      <c r="R268" s="3">
        <f t="shared" si="30"/>
        <v>2.345127476357017E-4</v>
      </c>
      <c r="S268" s="3">
        <f t="shared" si="32"/>
        <v>0.15421701390864884</v>
      </c>
      <c r="T268" s="20">
        <f t="shared" si="33"/>
        <v>0.93805099054280683</v>
      </c>
      <c r="U268" s="20">
        <v>294.17630667374999</v>
      </c>
    </row>
    <row r="269" spans="15:21" x14ac:dyDescent="0.35">
      <c r="O269" s="18">
        <v>5</v>
      </c>
      <c r="P269" s="18">
        <f t="shared" si="31"/>
        <v>1335</v>
      </c>
      <c r="Q269" s="3">
        <f t="shared" si="34"/>
        <v>4.673404738344045E-5</v>
      </c>
      <c r="R269" s="3">
        <f t="shared" si="30"/>
        <v>2.3367023691720225E-4</v>
      </c>
      <c r="S269" s="3">
        <f t="shared" si="32"/>
        <v>0.15445152665628453</v>
      </c>
      <c r="T269" s="20">
        <f t="shared" si="33"/>
        <v>0.93468094766880894</v>
      </c>
      <c r="U269" s="20">
        <v>294.15844489543991</v>
      </c>
    </row>
    <row r="270" spans="15:21" x14ac:dyDescent="0.35">
      <c r="O270" s="18">
        <v>5</v>
      </c>
      <c r="P270" s="18">
        <f t="shared" si="31"/>
        <v>1340</v>
      </c>
      <c r="Q270" s="3">
        <f t="shared" si="34"/>
        <v>4.65665346363716E-5</v>
      </c>
      <c r="R270" s="3">
        <f t="shared" si="30"/>
        <v>2.32832673181858E-4</v>
      </c>
      <c r="S270" s="3">
        <f t="shared" si="32"/>
        <v>0.15468519689320173</v>
      </c>
      <c r="T270" s="20">
        <f t="shared" si="33"/>
        <v>0.93133069272743207</v>
      </c>
      <c r="U270" s="20">
        <v>294.14068784364309</v>
      </c>
    </row>
    <row r="271" spans="15:21" x14ac:dyDescent="0.35">
      <c r="O271" s="18">
        <v>5</v>
      </c>
      <c r="P271" s="18">
        <f t="shared" si="31"/>
        <v>1345</v>
      </c>
      <c r="Q271" s="3">
        <f t="shared" si="34"/>
        <v>4.6400002300829431E-5</v>
      </c>
      <c r="R271" s="3">
        <f t="shared" si="30"/>
        <v>2.3200001150414716E-4</v>
      </c>
      <c r="S271" s="3">
        <f t="shared" si="32"/>
        <v>0.15491802956638359</v>
      </c>
      <c r="T271" s="20">
        <f t="shared" si="33"/>
        <v>0.9280000460165887</v>
      </c>
      <c r="U271" s="20">
        <v>294.12303445551714</v>
      </c>
    </row>
    <row r="272" spans="15:21" x14ac:dyDescent="0.35">
      <c r="O272" s="18">
        <v>5</v>
      </c>
      <c r="P272" s="18">
        <f t="shared" si="31"/>
        <v>1350</v>
      </c>
      <c r="Q272" s="3">
        <f t="shared" si="34"/>
        <v>4.6234441504723851E-5</v>
      </c>
      <c r="R272" s="3">
        <f t="shared" si="30"/>
        <v>2.3117220752361925E-4</v>
      </c>
      <c r="S272" s="3">
        <f t="shared" si="32"/>
        <v>0.15515002957788773</v>
      </c>
      <c r="T272" s="20">
        <f t="shared" si="33"/>
        <v>0.924688830094477</v>
      </c>
      <c r="U272" s="20">
        <v>294.10548384605767</v>
      </c>
    </row>
    <row r="273" spans="15:21" x14ac:dyDescent="0.35">
      <c r="O273" s="18">
        <v>5</v>
      </c>
      <c r="P273" s="18">
        <f t="shared" si="31"/>
        <v>1355</v>
      </c>
      <c r="Q273" s="3">
        <f t="shared" si="34"/>
        <v>4.606984348716064E-5</v>
      </c>
      <c r="R273" s="3">
        <f t="shared" si="30"/>
        <v>2.3034921743580319E-4</v>
      </c>
      <c r="S273" s="3">
        <f t="shared" si="32"/>
        <v>0.15538120178541134</v>
      </c>
      <c r="T273" s="20">
        <f t="shared" si="33"/>
        <v>0.92139686974321289</v>
      </c>
      <c r="U273" s="20">
        <v>294.08803505734187</v>
      </c>
    </row>
    <row r="274" spans="15:21" x14ac:dyDescent="0.35">
      <c r="O274" s="18">
        <v>5</v>
      </c>
      <c r="P274" s="18">
        <f t="shared" si="31"/>
        <v>1360</v>
      </c>
      <c r="Q274" s="3">
        <f t="shared" si="34"/>
        <v>4.5906199596658731E-5</v>
      </c>
      <c r="R274" s="3">
        <f t="shared" si="30"/>
        <v>2.2953099798329364E-4</v>
      </c>
      <c r="S274" s="3">
        <f t="shared" si="32"/>
        <v>0.15561155100284715</v>
      </c>
      <c r="T274" s="20">
        <f t="shared" si="33"/>
        <v>0.91812399193317473</v>
      </c>
      <c r="U274" s="20">
        <v>294.07068722278774</v>
      </c>
    </row>
    <row r="275" spans="15:21" x14ac:dyDescent="0.35">
      <c r="O275" s="18">
        <v>5</v>
      </c>
      <c r="P275" s="18">
        <f t="shared" si="31"/>
        <v>1365</v>
      </c>
      <c r="Q275" s="3">
        <f t="shared" si="34"/>
        <v>4.574350128940228E-5</v>
      </c>
      <c r="R275" s="3">
        <f t="shared" si="30"/>
        <v>2.2871750644701142E-4</v>
      </c>
      <c r="S275" s="3">
        <f t="shared" si="32"/>
        <v>0.15584108200083044</v>
      </c>
      <c r="T275" s="20">
        <f t="shared" si="33"/>
        <v>0.91487002578804566</v>
      </c>
      <c r="U275" s="20">
        <v>294.05343943257742</v>
      </c>
    </row>
    <row r="276" spans="15:21" x14ac:dyDescent="0.35">
      <c r="O276" s="18">
        <v>5</v>
      </c>
      <c r="P276" s="18">
        <f t="shared" si="31"/>
        <v>1370</v>
      </c>
      <c r="Q276" s="3">
        <f t="shared" si="34"/>
        <v>4.5581740127526679E-5</v>
      </c>
      <c r="R276" s="3">
        <f t="shared" si="30"/>
        <v>2.2790870063763339E-4</v>
      </c>
      <c r="S276" s="3">
        <f t="shared" si="32"/>
        <v>0.15606979950727745</v>
      </c>
      <c r="T276" s="20">
        <f t="shared" si="33"/>
        <v>0.91163480255053364</v>
      </c>
      <c r="U276" s="20">
        <v>294.03629069580899</v>
      </c>
    </row>
    <row r="277" spans="15:21" x14ac:dyDescent="0.35">
      <c r="O277" s="18">
        <v>5</v>
      </c>
      <c r="P277" s="18">
        <f t="shared" si="31"/>
        <v>1375</v>
      </c>
      <c r="Q277" s="3">
        <f t="shared" si="34"/>
        <v>4.5420907777437796E-5</v>
      </c>
      <c r="R277" s="3">
        <f t="shared" si="30"/>
        <v>2.2710453888718899E-4</v>
      </c>
      <c r="S277" s="3">
        <f t="shared" si="32"/>
        <v>0.15629770820791508</v>
      </c>
      <c r="T277" s="20">
        <f t="shared" si="33"/>
        <v>0.90841815554875593</v>
      </c>
      <c r="U277" s="20">
        <v>294.01924026799759</v>
      </c>
    </row>
    <row r="278" spans="15:21" x14ac:dyDescent="0.35">
      <c r="O278" s="18">
        <v>5</v>
      </c>
      <c r="P278" s="18">
        <f t="shared" si="31"/>
        <v>1380</v>
      </c>
      <c r="Q278" s="3">
        <f t="shared" si="34"/>
        <v>4.5260996008163658E-5</v>
      </c>
      <c r="R278" s="3">
        <f t="shared" si="30"/>
        <v>2.2630498004081828E-4</v>
      </c>
      <c r="S278" s="3">
        <f t="shared" si="32"/>
        <v>0.15652481274680227</v>
      </c>
      <c r="T278" s="20">
        <f t="shared" si="33"/>
        <v>0.90521992016327324</v>
      </c>
      <c r="U278" s="20">
        <v>294.00228720558124</v>
      </c>
    </row>
    <row r="279" spans="15:21" x14ac:dyDescent="0.35">
      <c r="O279" s="18">
        <v>5</v>
      </c>
      <c r="P279" s="18">
        <f t="shared" si="31"/>
        <v>1385</v>
      </c>
      <c r="Q279" s="3">
        <f t="shared" si="34"/>
        <v>4.5101996689737891E-5</v>
      </c>
      <c r="R279" s="3">
        <f t="shared" si="30"/>
        <v>2.2550998344868944E-4</v>
      </c>
      <c r="S279" s="3">
        <f t="shared" si="32"/>
        <v>0.15675111772684308</v>
      </c>
      <c r="T279" s="20">
        <f t="shared" si="33"/>
        <v>0.90203993379475778</v>
      </c>
      <c r="U279" s="20">
        <v>293.98543068676167</v>
      </c>
    </row>
    <row r="280" spans="15:21" x14ac:dyDescent="0.35">
      <c r="O280" s="18">
        <v>5</v>
      </c>
      <c r="P280" s="18">
        <f t="shared" si="31"/>
        <v>1390</v>
      </c>
      <c r="Q280" s="3">
        <f t="shared" si="34"/>
        <v>4.4943901791614046E-5</v>
      </c>
      <c r="R280" s="3">
        <f t="shared" si="30"/>
        <v>2.2471950895807023E-4</v>
      </c>
      <c r="S280" s="3">
        <f t="shared" si="32"/>
        <v>0.15697662771029178</v>
      </c>
      <c r="T280" s="20">
        <f t="shared" si="33"/>
        <v>0.89887803583228088</v>
      </c>
      <c r="U280" s="20">
        <v>293.96866984984297</v>
      </c>
    </row>
    <row r="281" spans="15:21" x14ac:dyDescent="0.35">
      <c r="O281" s="18">
        <v>5</v>
      </c>
      <c r="P281" s="18">
        <f t="shared" si="31"/>
        <v>1395</v>
      </c>
      <c r="Q281" s="3">
        <f t="shared" si="34"/>
        <v>4.4786703381110397E-5</v>
      </c>
      <c r="R281" s="3">
        <f t="shared" si="30"/>
        <v>2.23933516905552E-4</v>
      </c>
      <c r="S281" s="3">
        <f t="shared" si="32"/>
        <v>0.15720134721924986</v>
      </c>
      <c r="T281" s="20">
        <f t="shared" si="33"/>
        <v>0.89573406762220786</v>
      </c>
      <c r="U281" s="20">
        <v>293.95200383421889</v>
      </c>
    </row>
    <row r="282" spans="15:21" x14ac:dyDescent="0.35">
      <c r="O282" s="18">
        <v>5</v>
      </c>
      <c r="P282" s="18">
        <f t="shared" si="31"/>
        <v>1400</v>
      </c>
      <c r="Q282" s="3">
        <f t="shared" si="34"/>
        <v>4.4630393621884203E-5</v>
      </c>
      <c r="R282" s="3">
        <f t="shared" si="30"/>
        <v>2.2315196810942102E-4</v>
      </c>
      <c r="S282" s="3">
        <f t="shared" si="32"/>
        <v>0.15742528073615542</v>
      </c>
      <c r="T282" s="20">
        <f t="shared" si="33"/>
        <v>0.89260787243768402</v>
      </c>
      <c r="U282" s="20">
        <v>293.93543183506529</v>
      </c>
    </row>
    <row r="283" spans="15:21" x14ac:dyDescent="0.35">
      <c r="O283" s="18">
        <v>5</v>
      </c>
      <c r="P283" s="18">
        <f t="shared" si="31"/>
        <v>1405</v>
      </c>
      <c r="Q283" s="3">
        <f t="shared" si="34"/>
        <v>4.447496477243495E-5</v>
      </c>
      <c r="R283" s="3">
        <f t="shared" si="30"/>
        <v>2.2237482386217475E-4</v>
      </c>
      <c r="S283" s="3">
        <f t="shared" si="32"/>
        <v>0.15764843270426485</v>
      </c>
      <c r="T283" s="20">
        <f t="shared" si="33"/>
        <v>0.88949929544869899</v>
      </c>
      <c r="U283" s="20">
        <v>293.91895306273904</v>
      </c>
    </row>
    <row r="284" spans="15:21" x14ac:dyDescent="0.35">
      <c r="O284" s="18">
        <v>5</v>
      </c>
      <c r="P284" s="18">
        <f t="shared" si="31"/>
        <v>1410</v>
      </c>
      <c r="Q284" s="3">
        <f t="shared" si="34"/>
        <v>4.4320409184635945E-5</v>
      </c>
      <c r="R284" s="3">
        <f t="shared" si="30"/>
        <v>2.2160204592317973E-4</v>
      </c>
      <c r="S284" s="3">
        <f t="shared" si="32"/>
        <v>0.15787080752812702</v>
      </c>
      <c r="T284" s="20">
        <f t="shared" si="33"/>
        <v>0.8864081836927189</v>
      </c>
      <c r="U284" s="20">
        <v>293.90256664159546</v>
      </c>
    </row>
    <row r="285" spans="15:21" x14ac:dyDescent="0.35">
      <c r="O285" s="18">
        <v>5</v>
      </c>
      <c r="P285" s="18">
        <f t="shared" si="31"/>
        <v>1415</v>
      </c>
      <c r="Q285" s="3">
        <f t="shared" si="34"/>
        <v>4.4166719302293533E-5</v>
      </c>
      <c r="R285" s="3">
        <f t="shared" si="30"/>
        <v>2.2083359651146767E-4</v>
      </c>
      <c r="S285" s="3">
        <f t="shared" si="32"/>
        <v>0.15809240957405019</v>
      </c>
      <c r="T285" s="20">
        <f t="shared" si="33"/>
        <v>0.88333438604587067</v>
      </c>
      <c r="U285" s="20">
        <v>293.8862718037106</v>
      </c>
    </row>
    <row r="286" spans="15:21" x14ac:dyDescent="0.35">
      <c r="O286" s="18">
        <v>5</v>
      </c>
      <c r="P286" s="18">
        <f t="shared" si="31"/>
        <v>1420</v>
      </c>
      <c r="Q286" s="3">
        <f t="shared" si="34"/>
        <v>4.4013887659733417E-5</v>
      </c>
      <c r="R286" s="3">
        <f t="shared" si="30"/>
        <v>2.2006943829866709E-4</v>
      </c>
      <c r="S286" s="3">
        <f t="shared" si="32"/>
        <v>0.15831324317056164</v>
      </c>
      <c r="T286" s="20">
        <f t="shared" si="33"/>
        <v>0.88027775319466839</v>
      </c>
      <c r="U286" s="20">
        <v>293.8700677917256</v>
      </c>
    </row>
    <row r="287" spans="15:21" x14ac:dyDescent="0.35">
      <c r="O287" s="18">
        <v>5</v>
      </c>
      <c r="P287" s="18">
        <f t="shared" si="31"/>
        <v>1425</v>
      </c>
      <c r="Q287" s="3">
        <f t="shared" si="34"/>
        <v>4.3861906880413375E-5</v>
      </c>
      <c r="R287" s="3">
        <f t="shared" si="30"/>
        <v>2.1930953440206687E-4</v>
      </c>
      <c r="S287" s="3">
        <f t="shared" si="32"/>
        <v>0.15853331260886031</v>
      </c>
      <c r="T287" s="20">
        <f t="shared" si="33"/>
        <v>0.87723813760826741</v>
      </c>
      <c r="U287" s="20">
        <v>293.85395382540969</v>
      </c>
    </row>
    <row r="288" spans="15:21" x14ac:dyDescent="0.35">
      <c r="O288" s="18">
        <v>5</v>
      </c>
      <c r="P288" s="18">
        <f t="shared" si="31"/>
        <v>1430</v>
      </c>
      <c r="Q288" s="3">
        <f t="shared" si="34"/>
        <v>4.3710769675561946E-5</v>
      </c>
      <c r="R288" s="3">
        <f t="shared" si="30"/>
        <v>2.1855384837780973E-4</v>
      </c>
      <c r="S288" s="3">
        <f t="shared" si="32"/>
        <v>0.15875262214326238</v>
      </c>
      <c r="T288" s="20">
        <f t="shared" si="33"/>
        <v>0.87421539351123889</v>
      </c>
      <c r="U288" s="20">
        <v>293.83792912328568</v>
      </c>
    </row>
    <row r="289" spans="15:21" x14ac:dyDescent="0.35">
      <c r="O289" s="18">
        <v>5</v>
      </c>
      <c r="P289" s="18">
        <f t="shared" si="31"/>
        <v>1435</v>
      </c>
      <c r="Q289" s="3">
        <f t="shared" si="34"/>
        <v>4.3560468842842367E-5</v>
      </c>
      <c r="R289" s="3">
        <f t="shared" si="30"/>
        <v>2.1780234421421183E-4</v>
      </c>
      <c r="S289" s="3">
        <f t="shared" si="32"/>
        <v>0.15897117599164021</v>
      </c>
      <c r="T289" s="20">
        <f t="shared" si="33"/>
        <v>0.8712093768568473</v>
      </c>
      <c r="U289" s="20">
        <v>293.82199283956152</v>
      </c>
    </row>
    <row r="290" spans="15:21" x14ac:dyDescent="0.35">
      <c r="O290" s="18">
        <v>5</v>
      </c>
      <c r="P290" s="18">
        <f t="shared" si="31"/>
        <v>1440</v>
      </c>
      <c r="Q290" s="3">
        <f t="shared" si="34"/>
        <v>4.3410997265041265E-5</v>
      </c>
      <c r="R290" s="3">
        <f t="shared" si="30"/>
        <v>2.1705498632520632E-4</v>
      </c>
      <c r="S290" s="3">
        <f t="shared" si="32"/>
        <v>0.15918897833585441</v>
      </c>
      <c r="T290" s="20">
        <f t="shared" si="33"/>
        <v>0.86821994530082525</v>
      </c>
      <c r="U290" s="20">
        <v>293.80614433137293</v>
      </c>
    </row>
    <row r="291" spans="15:21" x14ac:dyDescent="0.35">
      <c r="O291" s="18">
        <v>5</v>
      </c>
      <c r="P291" s="18">
        <f t="shared" si="31"/>
        <v>1445</v>
      </c>
      <c r="Q291" s="3">
        <f t="shared" si="34"/>
        <v>4.3262347908781516E-5</v>
      </c>
      <c r="R291" s="3">
        <f t="shared" si="30"/>
        <v>2.1631173954390757E-4</v>
      </c>
      <c r="S291" s="3">
        <f t="shared" si="32"/>
        <v>0.15940603332217962</v>
      </c>
      <c r="T291" s="20">
        <f t="shared" si="33"/>
        <v>0.86524695817563024</v>
      </c>
      <c r="U291" s="20">
        <v>293.79038283261423</v>
      </c>
    </row>
    <row r="292" spans="15:21" x14ac:dyDescent="0.35">
      <c r="O292" s="18">
        <v>5</v>
      </c>
      <c r="P292" s="18">
        <f t="shared" si="31"/>
        <v>1450</v>
      </c>
      <c r="Q292" s="3">
        <f t="shared" si="34"/>
        <v>4.3114513823258973E-5</v>
      </c>
      <c r="R292" s="3">
        <f t="shared" si="30"/>
        <v>2.1557256911629486E-4</v>
      </c>
      <c r="S292" s="3">
        <f t="shared" si="32"/>
        <v>0.15962234506172351</v>
      </c>
      <c r="T292" s="20">
        <f t="shared" si="33"/>
        <v>0.86229027646517953</v>
      </c>
      <c r="U292" s="20">
        <v>293.77470761041803</v>
      </c>
    </row>
    <row r="293" spans="15:21" x14ac:dyDescent="0.35">
      <c r="O293" s="18">
        <v>5</v>
      </c>
      <c r="P293" s="18">
        <f t="shared" si="31"/>
        <v>1455</v>
      </c>
      <c r="Q293" s="3">
        <f t="shared" si="34"/>
        <v>4.2967488139002103E-5</v>
      </c>
      <c r="R293" s="3">
        <f t="shared" si="30"/>
        <v>2.1483744069501052E-4</v>
      </c>
      <c r="S293" s="3">
        <f t="shared" si="32"/>
        <v>0.15983791763083982</v>
      </c>
      <c r="T293" s="20">
        <f t="shared" si="33"/>
        <v>0.85934976278004205</v>
      </c>
      <c r="U293" s="20">
        <v>293.75911793172395</v>
      </c>
    </row>
    <row r="294" spans="15:21" x14ac:dyDescent="0.35">
      <c r="O294" s="18">
        <v>5</v>
      </c>
      <c r="P294" s="18">
        <f t="shared" si="31"/>
        <v>1460</v>
      </c>
      <c r="Q294" s="3">
        <f t="shared" si="34"/>
        <v>4.2821264066654579E-5</v>
      </c>
      <c r="R294" s="3">
        <f t="shared" si="30"/>
        <v>2.1410632033327289E-4</v>
      </c>
      <c r="S294" s="3">
        <f t="shared" si="32"/>
        <v>0.16005275507153482</v>
      </c>
      <c r="T294" s="20">
        <f t="shared" si="33"/>
        <v>0.8564252813330917</v>
      </c>
      <c r="U294" s="20">
        <v>293.74361304368523</v>
      </c>
    </row>
    <row r="295" spans="15:21" x14ac:dyDescent="0.35">
      <c r="O295" s="18">
        <v>5</v>
      </c>
      <c r="P295" s="18">
        <f t="shared" si="31"/>
        <v>1465</v>
      </c>
      <c r="Q295" s="3">
        <f t="shared" si="34"/>
        <v>4.2675834895779811E-5</v>
      </c>
      <c r="R295" s="3">
        <f t="shared" si="30"/>
        <v>2.1337917447889905E-4</v>
      </c>
      <c r="S295" s="3">
        <f t="shared" si="32"/>
        <v>0.1602668613918681</v>
      </c>
      <c r="T295" s="20">
        <f t="shared" si="33"/>
        <v>0.85351669791559626</v>
      </c>
      <c r="U295" s="20">
        <v>293.72819232166853</v>
      </c>
    </row>
    <row r="296" spans="15:21" x14ac:dyDescent="0.35">
      <c r="O296" s="18">
        <v>5</v>
      </c>
      <c r="P296" s="18">
        <f t="shared" si="31"/>
        <v>1470</v>
      </c>
      <c r="Q296" s="3">
        <f t="shared" si="34"/>
        <v>4.2531193993687389E-5</v>
      </c>
      <c r="R296" s="3">
        <f t="shared" si="30"/>
        <v>2.1265596996843694E-4</v>
      </c>
      <c r="S296" s="3">
        <f t="shared" si="32"/>
        <v>0.16048024056634699</v>
      </c>
      <c r="T296" s="20">
        <f t="shared" si="33"/>
        <v>0.85062387987374788</v>
      </c>
      <c r="U296" s="20">
        <v>293.71285495150477</v>
      </c>
    </row>
    <row r="297" spans="15:21" x14ac:dyDescent="0.35">
      <c r="O297" s="18">
        <v>5</v>
      </c>
      <c r="P297" s="18">
        <f t="shared" si="31"/>
        <v>1475</v>
      </c>
      <c r="Q297" s="3">
        <f t="shared" si="34"/>
        <v>4.2387334804280572E-5</v>
      </c>
      <c r="R297" s="3">
        <f t="shared" si="30"/>
        <v>2.1193667402140284E-4</v>
      </c>
      <c r="S297" s="3">
        <f t="shared" si="32"/>
        <v>0.16069289653631544</v>
      </c>
      <c r="T297" s="20">
        <f t="shared" si="33"/>
        <v>0.84774669608561137</v>
      </c>
      <c r="U297" s="20">
        <v>293.69760033583731</v>
      </c>
    </row>
    <row r="298" spans="15:21" x14ac:dyDescent="0.35">
      <c r="O298" s="18">
        <v>5</v>
      </c>
      <c r="P298" s="18">
        <f t="shared" si="31"/>
        <v>1480</v>
      </c>
      <c r="Q298" s="3">
        <f t="shared" si="34"/>
        <v>4.224425084692482E-5</v>
      </c>
      <c r="R298" s="3">
        <f t="shared" si="30"/>
        <v>2.1122125423462409E-4</v>
      </c>
      <c r="S298" s="3">
        <f t="shared" si="32"/>
        <v>0.16090483321033683</v>
      </c>
      <c r="T298" s="20">
        <f t="shared" si="33"/>
        <v>0.84488501693849638</v>
      </c>
      <c r="U298" s="20">
        <v>293.6824277596574</v>
      </c>
    </row>
    <row r="299" spans="15:21" x14ac:dyDescent="0.35">
      <c r="O299" s="18">
        <v>5</v>
      </c>
      <c r="P299" s="18">
        <f t="shared" si="31"/>
        <v>1485</v>
      </c>
      <c r="Q299" s="3">
        <f t="shared" si="34"/>
        <v>4.2101935715336414E-5</v>
      </c>
      <c r="R299" s="3">
        <f t="shared" si="30"/>
        <v>2.1050967857668207E-4</v>
      </c>
      <c r="S299" s="3">
        <f t="shared" si="32"/>
        <v>0.16111605446457145</v>
      </c>
      <c r="T299" s="20">
        <f t="shared" si="33"/>
        <v>0.84203871430672828</v>
      </c>
      <c r="U299" s="20">
        <v>293.66733655343728</v>
      </c>
    </row>
    <row r="300" spans="15:21" x14ac:dyDescent="0.35">
      <c r="O300" s="18">
        <v>5</v>
      </c>
      <c r="P300" s="18">
        <f t="shared" si="31"/>
        <v>1490</v>
      </c>
      <c r="Q300" s="3">
        <f t="shared" si="34"/>
        <v>4.1960383076491174E-5</v>
      </c>
      <c r="R300" s="3">
        <f t="shared" si="30"/>
        <v>2.0980191538245586E-4</v>
      </c>
      <c r="S300" s="3">
        <f t="shared" si="32"/>
        <v>0.16132656414314814</v>
      </c>
      <c r="T300" s="20">
        <f t="shared" si="33"/>
        <v>0.8392076615298234</v>
      </c>
      <c r="U300" s="20">
        <v>293.65232602987533</v>
      </c>
    </row>
    <row r="301" spans="15:21" x14ac:dyDescent="0.35">
      <c r="O301" s="18">
        <v>5</v>
      </c>
      <c r="P301" s="18">
        <f t="shared" si="31"/>
        <v>1495</v>
      </c>
      <c r="Q301" s="3">
        <f t="shared" si="34"/>
        <v>4.1819586669552653E-5</v>
      </c>
      <c r="R301" s="3">
        <f t="shared" si="30"/>
        <v>2.0909793334776327E-4</v>
      </c>
      <c r="S301" s="3">
        <f t="shared" si="32"/>
        <v>0.16153636605853058</v>
      </c>
      <c r="T301" s="20">
        <f t="shared" si="33"/>
        <v>0.83639173339105322</v>
      </c>
      <c r="U301" s="20">
        <v>293.63739553682024</v>
      </c>
    </row>
    <row r="302" spans="15:21" x14ac:dyDescent="0.35">
      <c r="O302" s="18">
        <v>5</v>
      </c>
      <c r="P302" s="18">
        <f t="shared" si="31"/>
        <v>1500</v>
      </c>
      <c r="Q302" s="3">
        <f t="shared" si="34"/>
        <v>4.167954030481931E-5</v>
      </c>
      <c r="R302" s="3">
        <f t="shared" si="30"/>
        <v>2.0839770152409655E-4</v>
      </c>
      <c r="S302" s="3">
        <f t="shared" si="32"/>
        <v>0.16174546399187834</v>
      </c>
      <c r="T302" s="20">
        <f t="shared" si="33"/>
        <v>0.83359080609638614</v>
      </c>
      <c r="U302" s="20">
        <v>293.62254441091847</v>
      </c>
    </row>
    <row r="303" spans="15:21" x14ac:dyDescent="0.35">
      <c r="O303" s="18">
        <v>5</v>
      </c>
      <c r="P303" s="18">
        <f t="shared" si="31"/>
        <v>1505</v>
      </c>
      <c r="Q303" s="3">
        <f t="shared" si="34"/>
        <v>4.1540237862690548E-5</v>
      </c>
      <c r="R303" s="3">
        <f t="shared" si="30"/>
        <v>2.0770118931345274E-4</v>
      </c>
      <c r="S303" s="3">
        <f t="shared" si="32"/>
        <v>0.16195386169340242</v>
      </c>
      <c r="T303" s="20">
        <f t="shared" si="33"/>
        <v>0.83080475725381098</v>
      </c>
      <c r="U303" s="20">
        <v>293.60777202725399</v>
      </c>
    </row>
    <row r="304" spans="15:21" x14ac:dyDescent="0.35">
      <c r="O304" s="18">
        <v>5</v>
      </c>
      <c r="P304" s="18">
        <f t="shared" si="31"/>
        <v>1510</v>
      </c>
      <c r="Q304" s="3">
        <f t="shared" si="34"/>
        <v>4.1401673292650859E-5</v>
      </c>
      <c r="R304" s="3">
        <f t="shared" si="30"/>
        <v>2.0700836646325428E-4</v>
      </c>
      <c r="S304" s="3">
        <f t="shared" si="32"/>
        <v>0.16216156288271588</v>
      </c>
      <c r="T304" s="20">
        <f t="shared" si="33"/>
        <v>0.82803346585301718</v>
      </c>
      <c r="U304" s="20">
        <v>293.59307774537172</v>
      </c>
    </row>
    <row r="305" spans="15:21" x14ac:dyDescent="0.35">
      <c r="O305" s="18">
        <v>5</v>
      </c>
      <c r="P305" s="18">
        <f t="shared" si="31"/>
        <v>1515</v>
      </c>
      <c r="Q305" s="3">
        <f t="shared" si="34"/>
        <v>4.12638406122721E-5</v>
      </c>
      <c r="R305" s="3">
        <f t="shared" si="30"/>
        <v>2.0631920306136051E-4</v>
      </c>
      <c r="S305" s="3">
        <f t="shared" si="32"/>
        <v>0.16236857124917914</v>
      </c>
      <c r="T305" s="20">
        <f t="shared" si="33"/>
        <v>0.82527681224544214</v>
      </c>
      <c r="U305" s="20">
        <v>293.57846091891906</v>
      </c>
    </row>
    <row r="306" spans="15:21" x14ac:dyDescent="0.35">
      <c r="O306" s="18">
        <v>5</v>
      </c>
      <c r="P306" s="18">
        <f t="shared" si="31"/>
        <v>1520</v>
      </c>
      <c r="Q306" s="3">
        <f t="shared" si="34"/>
        <v>4.1126733906233087E-5</v>
      </c>
      <c r="R306" s="3">
        <f t="shared" si="30"/>
        <v>2.0563366953116544E-4</v>
      </c>
      <c r="S306" s="3">
        <f t="shared" si="32"/>
        <v>0.16257489045224049</v>
      </c>
      <c r="T306" s="20">
        <f t="shared" si="33"/>
        <v>0.82253467812466174</v>
      </c>
      <c r="U306" s="20">
        <v>293.56392091712308</v>
      </c>
    </row>
    <row r="307" spans="15:21" x14ac:dyDescent="0.35">
      <c r="O307" s="18">
        <v>5</v>
      </c>
      <c r="P307" s="18">
        <f t="shared" si="31"/>
        <v>1525</v>
      </c>
      <c r="Q307" s="3">
        <f t="shared" si="34"/>
        <v>4.0990347325356551E-5</v>
      </c>
      <c r="R307" s="3">
        <f t="shared" si="30"/>
        <v>2.0495173662678275E-4</v>
      </c>
      <c r="S307" s="3">
        <f t="shared" si="32"/>
        <v>0.16278052412177166</v>
      </c>
      <c r="T307" s="20">
        <f t="shared" si="33"/>
        <v>0.81980694650713115</v>
      </c>
      <c r="U307" s="20">
        <v>293.54945713023778</v>
      </c>
    </row>
    <row r="308" spans="15:21" x14ac:dyDescent="0.35">
      <c r="O308" s="18">
        <v>5</v>
      </c>
      <c r="P308" s="18">
        <f t="shared" si="31"/>
        <v>1530</v>
      </c>
      <c r="Q308" s="3">
        <f t="shared" si="34"/>
        <v>4.0854675085662805E-5</v>
      </c>
      <c r="R308" s="3">
        <f t="shared" si="30"/>
        <v>2.0427337542831402E-4</v>
      </c>
      <c r="S308" s="3">
        <f t="shared" si="32"/>
        <v>0.16298547585839845</v>
      </c>
      <c r="T308" s="20">
        <f t="shared" si="33"/>
        <v>0.81709350171325623</v>
      </c>
      <c r="U308" s="20">
        <v>293.53506899695333</v>
      </c>
    </row>
    <row r="309" spans="15:21" x14ac:dyDescent="0.35">
      <c r="O309" s="18">
        <v>5</v>
      </c>
      <c r="P309" s="18">
        <f t="shared" si="31"/>
        <v>1535</v>
      </c>
      <c r="Q309" s="3">
        <f t="shared" si="34"/>
        <v>4.0719711467440017E-5</v>
      </c>
      <c r="R309" s="3">
        <f t="shared" si="30"/>
        <v>2.0359855733720008E-4</v>
      </c>
      <c r="S309" s="3">
        <f t="shared" si="32"/>
        <v>0.16318974923382676</v>
      </c>
      <c r="T309" s="20">
        <f t="shared" si="33"/>
        <v>0.81439422934880035</v>
      </c>
      <c r="U309" s="20">
        <v>293.52075578482186</v>
      </c>
    </row>
    <row r="310" spans="15:21" x14ac:dyDescent="0.35">
      <c r="O310" s="18">
        <v>5</v>
      </c>
      <c r="P310" s="18">
        <f t="shared" si="31"/>
        <v>1540</v>
      </c>
      <c r="Q310" s="3">
        <f t="shared" si="34"/>
        <v>4.0585450814330451E-5</v>
      </c>
      <c r="R310" s="3">
        <f t="shared" si="30"/>
        <v>2.0292725407165227E-4</v>
      </c>
      <c r="S310" s="3">
        <f t="shared" si="32"/>
        <v>0.16339334779116396</v>
      </c>
      <c r="T310" s="20">
        <f t="shared" si="33"/>
        <v>0.81170901628660896</v>
      </c>
      <c r="U310" s="20">
        <v>293.50651706111211</v>
      </c>
    </row>
    <row r="311" spans="15:21" x14ac:dyDescent="0.35">
      <c r="O311" s="18">
        <v>5</v>
      </c>
      <c r="P311" s="18">
        <f t="shared" si="31"/>
        <v>1545</v>
      </c>
      <c r="Q311" s="3">
        <f t="shared" si="34"/>
        <v>4.0451887532432696E-5</v>
      </c>
      <c r="R311" s="3">
        <f t="shared" si="30"/>
        <v>2.0225943766216347E-4</v>
      </c>
      <c r="S311" s="3">
        <f t="shared" si="32"/>
        <v>0.16359627504523561</v>
      </c>
      <c r="T311" s="20">
        <f t="shared" si="33"/>
        <v>0.80903775064865391</v>
      </c>
      <c r="U311" s="20">
        <v>293.49235207078982</v>
      </c>
    </row>
    <row r="312" spans="15:21" x14ac:dyDescent="0.35">
      <c r="O312" s="18">
        <v>5</v>
      </c>
      <c r="P312" s="18">
        <f t="shared" si="31"/>
        <v>1550</v>
      </c>
      <c r="Q312" s="3">
        <f t="shared" si="34"/>
        <v>4.0319016089419264E-5</v>
      </c>
      <c r="R312" s="3">
        <f t="shared" si="30"/>
        <v>2.0159508044709633E-4</v>
      </c>
      <c r="S312" s="3">
        <f t="shared" si="32"/>
        <v>0.16379853448289777</v>
      </c>
      <c r="T312" s="20">
        <f t="shared" si="33"/>
        <v>0.80638032178838526</v>
      </c>
      <c r="U312" s="20">
        <v>293.47826034649495</v>
      </c>
    </row>
    <row r="313" spans="15:21" x14ac:dyDescent="0.35">
      <c r="O313" s="18">
        <v>5</v>
      </c>
      <c r="P313" s="18">
        <f t="shared" si="31"/>
        <v>1555</v>
      </c>
      <c r="Q313" s="3">
        <f t="shared" si="34"/>
        <v>4.0186831013669442E-5</v>
      </c>
      <c r="R313" s="3">
        <f t="shared" si="30"/>
        <v>2.0093415506834721E-4</v>
      </c>
      <c r="S313" s="3">
        <f t="shared" si="32"/>
        <v>0.16400012956334487</v>
      </c>
      <c r="T313" s="20">
        <f t="shared" si="33"/>
        <v>0.80373662027338877</v>
      </c>
      <c r="U313" s="20">
        <v>293.46424129850556</v>
      </c>
    </row>
    <row r="314" spans="15:21" x14ac:dyDescent="0.35">
      <c r="O314" s="18">
        <v>5</v>
      </c>
      <c r="P314" s="18">
        <f t="shared" si="31"/>
        <v>1560</v>
      </c>
      <c r="Q314" s="3">
        <f t="shared" si="34"/>
        <v>4.0055326893416933E-5</v>
      </c>
      <c r="R314" s="3">
        <f t="shared" si="30"/>
        <v>2.0027663446708466E-4</v>
      </c>
      <c r="S314" s="3">
        <f t="shared" si="32"/>
        <v>0.16420106371841323</v>
      </c>
      <c r="T314" s="20">
        <f t="shared" si="33"/>
        <v>0.80110653786833863</v>
      </c>
      <c r="U314" s="20">
        <v>293.45029430614306</v>
      </c>
    </row>
    <row r="315" spans="15:21" x14ac:dyDescent="0.35">
      <c r="O315" s="18">
        <v>5</v>
      </c>
      <c r="P315" s="18">
        <f t="shared" si="31"/>
        <v>1565</v>
      </c>
      <c r="Q315" s="3">
        <f t="shared" si="34"/>
        <v>3.992449837591216E-5</v>
      </c>
      <c r="R315" s="3">
        <f t="shared" si="30"/>
        <v>1.9962249187956078E-4</v>
      </c>
      <c r="S315" s="3">
        <f t="shared" si="32"/>
        <v>0.16440134035288032</v>
      </c>
      <c r="T315" s="20">
        <f t="shared" si="33"/>
        <v>0.79848996751824319</v>
      </c>
      <c r="U315" s="20">
        <v>293.43641882831309</v>
      </c>
    </row>
    <row r="316" spans="15:21" x14ac:dyDescent="0.35">
      <c r="O316" s="18">
        <v>5</v>
      </c>
      <c r="P316" s="18">
        <f t="shared" si="31"/>
        <v>1570</v>
      </c>
      <c r="Q316" s="3">
        <f t="shared" si="34"/>
        <v>3.9794340166598813E-5</v>
      </c>
      <c r="R316" s="3">
        <f t="shared" si="30"/>
        <v>1.9897170083299406E-4</v>
      </c>
      <c r="S316" s="3">
        <f t="shared" si="32"/>
        <v>0.16460096284475986</v>
      </c>
      <c r="T316" s="20">
        <f t="shared" si="33"/>
        <v>0.79588680333197626</v>
      </c>
      <c r="U316" s="20">
        <v>293.422614288359</v>
      </c>
    </row>
    <row r="317" spans="15:21" x14ac:dyDescent="0.35">
      <c r="O317" s="18">
        <v>5</v>
      </c>
      <c r="P317" s="18">
        <f t="shared" si="31"/>
        <v>1575</v>
      </c>
      <c r="Q317" s="3">
        <f t="shared" si="34"/>
        <v>3.9664847028304252E-5</v>
      </c>
      <c r="R317" s="3">
        <f t="shared" si="30"/>
        <v>1.9832423514152127E-4</v>
      </c>
      <c r="S317" s="3">
        <f t="shared" si="32"/>
        <v>0.16479993454559286</v>
      </c>
      <c r="T317" s="20">
        <f t="shared" si="33"/>
        <v>0.79329694056608502</v>
      </c>
      <c r="U317" s="20">
        <v>293.40888016568357</v>
      </c>
    </row>
    <row r="318" spans="15:21" x14ac:dyDescent="0.35">
      <c r="O318" s="18">
        <v>5</v>
      </c>
      <c r="P318" s="18">
        <f t="shared" si="31"/>
        <v>1580</v>
      </c>
      <c r="Q318" s="3">
        <f t="shared" si="34"/>
        <v>3.953601378044389E-5</v>
      </c>
      <c r="R318" s="3">
        <f t="shared" si="30"/>
        <v>1.9768006890221945E-4</v>
      </c>
      <c r="S318" s="3">
        <f t="shared" si="32"/>
        <v>0.16499825878073437</v>
      </c>
      <c r="T318" s="20">
        <f t="shared" si="33"/>
        <v>0.79072027560887781</v>
      </c>
      <c r="U318" s="20">
        <v>293.39521590920134</v>
      </c>
    </row>
    <row r="319" spans="15:21" x14ac:dyDescent="0.35">
      <c r="O319" s="18">
        <v>5</v>
      </c>
      <c r="P319" s="18">
        <f t="shared" si="31"/>
        <v>1585</v>
      </c>
      <c r="Q319" s="3">
        <f t="shared" si="34"/>
        <v>3.9407835298238737E-5</v>
      </c>
      <c r="R319" s="3">
        <f t="shared" si="30"/>
        <v>1.9703917649119368E-4</v>
      </c>
      <c r="S319" s="3">
        <f t="shared" si="32"/>
        <v>0.1651959388496366</v>
      </c>
      <c r="T319" s="20">
        <f t="shared" si="33"/>
        <v>0.78815670596477472</v>
      </c>
      <c r="U319" s="20">
        <v>293.38162096509109</v>
      </c>
    </row>
    <row r="320" spans="15:21" x14ac:dyDescent="0.35">
      <c r="O320" s="18">
        <v>5</v>
      </c>
      <c r="P320" s="18">
        <f t="shared" si="31"/>
        <v>1590</v>
      </c>
      <c r="Q320" s="3">
        <f t="shared" si="34"/>
        <v>3.92803065119463E-5</v>
      </c>
      <c r="R320" s="3">
        <f t="shared" si="30"/>
        <v>1.964015325597315E-4</v>
      </c>
      <c r="S320" s="3">
        <f t="shared" si="32"/>
        <v>0.16539297802612779</v>
      </c>
      <c r="T320" s="20">
        <f t="shared" si="33"/>
        <v>0.785606130238926</v>
      </c>
      <c r="U320" s="20">
        <v>293.36809478661871</v>
      </c>
    </row>
    <row r="321" spans="15:21" x14ac:dyDescent="0.35">
      <c r="O321" s="18">
        <v>5</v>
      </c>
      <c r="P321" s="18">
        <f t="shared" si="31"/>
        <v>1595</v>
      </c>
      <c r="Q321" s="3">
        <f t="shared" si="34"/>
        <v>3.9153422406104306E-5</v>
      </c>
      <c r="R321" s="3">
        <f t="shared" si="30"/>
        <v>1.9576711203052154E-4</v>
      </c>
      <c r="S321" s="3">
        <f t="shared" si="32"/>
        <v>0.16558937955868752</v>
      </c>
      <c r="T321" s="20">
        <f t="shared" si="33"/>
        <v>0.78306844812208609</v>
      </c>
      <c r="U321" s="20">
        <v>293.35463686911044</v>
      </c>
    </row>
    <row r="322" spans="15:21" x14ac:dyDescent="0.35">
      <c r="O322" s="18">
        <v>5</v>
      </c>
      <c r="P322" s="18">
        <f t="shared" si="31"/>
        <v>1600</v>
      </c>
      <c r="Q322" s="3">
        <f t="shared" si="34"/>
        <v>3.9027178018787067E-5</v>
      </c>
      <c r="R322" s="3">
        <f t="shared" ref="R322:R385" si="35">Q322*O322</f>
        <v>1.9513589009393533E-4</v>
      </c>
      <c r="S322" s="3">
        <f t="shared" si="32"/>
        <v>0.16578514667071803</v>
      </c>
      <c r="T322" s="20">
        <f t="shared" si="33"/>
        <v>0.78054356037574124</v>
      </c>
      <c r="U322" s="20">
        <v>293.34124667561514</v>
      </c>
    </row>
    <row r="323" spans="15:21" x14ac:dyDescent="0.35">
      <c r="O323" s="18">
        <v>5</v>
      </c>
      <c r="P323" s="18">
        <f t="shared" ref="P323:P386" si="36">O323+P322</f>
        <v>1605</v>
      </c>
      <c r="Q323" s="3">
        <f t="shared" si="34"/>
        <v>3.8901568440874306E-5</v>
      </c>
      <c r="R323" s="3">
        <f t="shared" si="35"/>
        <v>1.9450784220437152E-4</v>
      </c>
      <c r="S323" s="3">
        <f t="shared" ref="S323:S386" si="37">S322+R322</f>
        <v>0.16598028256081196</v>
      </c>
      <c r="T323" s="20">
        <f t="shared" ref="T323:T386" si="38">Q323*$B$9*$B$2*0.5/$B$11</f>
        <v>0.77803136881748625</v>
      </c>
      <c r="U323" s="20">
        <v>293.32792363419753</v>
      </c>
    </row>
    <row r="324" spans="15:21" x14ac:dyDescent="0.35">
      <c r="O324" s="18">
        <v>5</v>
      </c>
      <c r="P324" s="18">
        <f t="shared" si="36"/>
        <v>1610</v>
      </c>
      <c r="Q324" s="3">
        <f t="shared" ref="Q324:Q387" si="39">$T$2*(1-(S324/$B$12))/($B$9*((0.5*$B$2/$B$11)+(S324/$B$10)))</f>
        <v>3.877658881533208E-5</v>
      </c>
      <c r="R324" s="3">
        <f t="shared" si="35"/>
        <v>1.9388294407666039E-4</v>
      </c>
      <c r="S324" s="3">
        <f t="shared" si="37"/>
        <v>0.16617479040301633</v>
      </c>
      <c r="T324" s="20">
        <f t="shared" si="38"/>
        <v>0.77553177630664172</v>
      </c>
      <c r="U324" s="20">
        <v>293.31466734785141</v>
      </c>
    </row>
    <row r="325" spans="15:21" x14ac:dyDescent="0.35">
      <c r="O325" s="18">
        <v>5</v>
      </c>
      <c r="P325" s="18">
        <f t="shared" si="36"/>
        <v>1615</v>
      </c>
      <c r="Q325" s="3">
        <f t="shared" si="39"/>
        <v>3.8652234336505707E-5</v>
      </c>
      <c r="R325" s="3">
        <f t="shared" si="35"/>
        <v>1.9326117168252854E-4</v>
      </c>
      <c r="S325" s="3">
        <f t="shared" si="37"/>
        <v>0.16636867334709299</v>
      </c>
      <c r="T325" s="20">
        <f t="shared" si="38"/>
        <v>0.77304468673011406</v>
      </c>
      <c r="U325" s="20">
        <v>293.30147719506749</v>
      </c>
    </row>
    <row r="326" spans="15:21" x14ac:dyDescent="0.35">
      <c r="O326" s="18">
        <v>5</v>
      </c>
      <c r="P326" s="18">
        <f t="shared" si="36"/>
        <v>1620</v>
      </c>
      <c r="Q326" s="3">
        <f t="shared" si="39"/>
        <v>3.8528500249424256E-5</v>
      </c>
      <c r="R326" s="3">
        <f t="shared" si="35"/>
        <v>1.9264250124712129E-4</v>
      </c>
      <c r="S326" s="3">
        <f t="shared" si="37"/>
        <v>0.16656193451877552</v>
      </c>
      <c r="T326" s="20">
        <f t="shared" si="38"/>
        <v>0.77057000498848505</v>
      </c>
      <c r="U326" s="20">
        <v>293.28835277386662</v>
      </c>
    </row>
    <row r="327" spans="15:21" x14ac:dyDescent="0.35">
      <c r="O327" s="18">
        <v>5</v>
      </c>
      <c r="P327" s="18">
        <f t="shared" si="36"/>
        <v>1625</v>
      </c>
      <c r="Q327" s="3">
        <f t="shared" si="39"/>
        <v>3.8405381849116626E-5</v>
      </c>
      <c r="R327" s="3">
        <f t="shared" si="35"/>
        <v>1.9202690924558313E-4</v>
      </c>
      <c r="S327" s="3">
        <f t="shared" si="37"/>
        <v>0.16675457702002264</v>
      </c>
      <c r="T327" s="20">
        <f t="shared" si="38"/>
        <v>0.76810763698233253</v>
      </c>
      <c r="U327" s="20">
        <v>293.27529348457693</v>
      </c>
    </row>
    <row r="328" spans="15:21" x14ac:dyDescent="0.35">
      <c r="O328" s="18">
        <v>5</v>
      </c>
      <c r="P328" s="18">
        <f t="shared" si="36"/>
        <v>1630</v>
      </c>
      <c r="Q328" s="3">
        <f t="shared" si="39"/>
        <v>3.8282874479938796E-5</v>
      </c>
      <c r="R328" s="3">
        <f t="shared" si="35"/>
        <v>1.9141437239969398E-4</v>
      </c>
      <c r="S328" s="3">
        <f t="shared" si="37"/>
        <v>0.16694660392926822</v>
      </c>
      <c r="T328" s="20">
        <f t="shared" si="38"/>
        <v>0.76565748959877589</v>
      </c>
      <c r="U328" s="20">
        <v>293.26229892750837</v>
      </c>
    </row>
    <row r="329" spans="15:21" x14ac:dyDescent="0.35">
      <c r="O329" s="18">
        <v>5</v>
      </c>
      <c r="P329" s="18">
        <f t="shared" si="36"/>
        <v>1635</v>
      </c>
      <c r="Q329" s="3">
        <f t="shared" si="39"/>
        <v>3.8160973534912076E-5</v>
      </c>
      <c r="R329" s="3">
        <f t="shared" si="35"/>
        <v>1.9080486767456039E-4</v>
      </c>
      <c r="S329" s="3">
        <f t="shared" si="37"/>
        <v>0.16713801830166791</v>
      </c>
      <c r="T329" s="20">
        <f t="shared" si="38"/>
        <v>0.76321947069824148</v>
      </c>
      <c r="U329" s="20">
        <v>293.24936855146626</v>
      </c>
    </row>
    <row r="330" spans="15:21" x14ac:dyDescent="0.35">
      <c r="O330" s="18">
        <v>5</v>
      </c>
      <c r="P330" s="18">
        <f t="shared" si="36"/>
        <v>1640</v>
      </c>
      <c r="Q330" s="3">
        <f t="shared" si="39"/>
        <v>3.8039674455072222E-5</v>
      </c>
      <c r="R330" s="3">
        <f t="shared" si="35"/>
        <v>1.901983722753611E-4</v>
      </c>
      <c r="S330" s="3">
        <f t="shared" si="37"/>
        <v>0.16732882316934247</v>
      </c>
      <c r="T330" s="20">
        <f t="shared" si="38"/>
        <v>0.7607934891014444</v>
      </c>
      <c r="U330" s="20">
        <v>293.23650192066447</v>
      </c>
    </row>
    <row r="331" spans="15:21" x14ac:dyDescent="0.35">
      <c r="O331" s="18">
        <v>5</v>
      </c>
      <c r="P331" s="18">
        <f t="shared" si="36"/>
        <v>1645</v>
      </c>
      <c r="Q331" s="3">
        <f t="shared" si="39"/>
        <v>3.7918972728829172E-5</v>
      </c>
      <c r="R331" s="3">
        <f t="shared" si="35"/>
        <v>1.8959486364414585E-4</v>
      </c>
      <c r="S331" s="3">
        <f t="shared" si="37"/>
        <v>0.16751902154161782</v>
      </c>
      <c r="T331" s="20">
        <f t="shared" si="38"/>
        <v>0.7583794545765834</v>
      </c>
      <c r="U331" s="20">
        <v>293.22369852506495</v>
      </c>
    </row>
    <row r="332" spans="15:21" x14ac:dyDescent="0.35">
      <c r="O332" s="18">
        <v>5</v>
      </c>
      <c r="P332" s="18">
        <f t="shared" si="36"/>
        <v>1650</v>
      </c>
      <c r="Q332" s="3">
        <f t="shared" si="39"/>
        <v>3.7798863891337006E-5</v>
      </c>
      <c r="R332" s="3">
        <f t="shared" si="35"/>
        <v>1.8899431945668504E-4</v>
      </c>
      <c r="S332" s="3">
        <f t="shared" si="37"/>
        <v>0.16770861640526197</v>
      </c>
      <c r="T332" s="20">
        <f t="shared" si="38"/>
        <v>0.75597727782674007</v>
      </c>
      <c r="U332" s="20">
        <v>293.21095790179862</v>
      </c>
    </row>
    <row r="333" spans="15:21" x14ac:dyDescent="0.35">
      <c r="O333" s="18">
        <v>5</v>
      </c>
      <c r="P333" s="18">
        <f t="shared" si="36"/>
        <v>1655</v>
      </c>
      <c r="Q333" s="3">
        <f t="shared" si="39"/>
        <v>3.7679343523874382E-5</v>
      </c>
      <c r="R333" s="3">
        <f t="shared" si="35"/>
        <v>1.883967176193719E-4</v>
      </c>
      <c r="S333" s="3">
        <f t="shared" si="37"/>
        <v>0.16789761072471865</v>
      </c>
      <c r="T333" s="20">
        <f t="shared" si="38"/>
        <v>0.75358687047748762</v>
      </c>
      <c r="U333" s="20">
        <v>293.19827958958848</v>
      </c>
    </row>
    <row r="334" spans="15:21" x14ac:dyDescent="0.35">
      <c r="O334" s="18">
        <v>5</v>
      </c>
      <c r="P334" s="18">
        <f t="shared" si="36"/>
        <v>1660</v>
      </c>
      <c r="Q334" s="3">
        <f t="shared" si="39"/>
        <v>3.7560407253234716E-5</v>
      </c>
      <c r="R334" s="3">
        <f t="shared" si="35"/>
        <v>1.8780203626617359E-4</v>
      </c>
      <c r="S334" s="3">
        <f t="shared" si="37"/>
        <v>0.16808600744233801</v>
      </c>
      <c r="T334" s="20">
        <f t="shared" si="38"/>
        <v>0.75120814506469424</v>
      </c>
      <c r="U334" s="20">
        <v>293.18566309469662</v>
      </c>
    </row>
    <row r="335" spans="15:21" x14ac:dyDescent="0.35">
      <c r="O335" s="18">
        <v>5</v>
      </c>
      <c r="P335" s="18">
        <f t="shared" si="36"/>
        <v>1665</v>
      </c>
      <c r="Q335" s="3">
        <f t="shared" si="39"/>
        <v>3.7442050751126322E-5</v>
      </c>
      <c r="R335" s="3">
        <f t="shared" si="35"/>
        <v>1.8721025375563162E-4</v>
      </c>
      <c r="S335" s="3">
        <f t="shared" si="37"/>
        <v>0.16827380947860418</v>
      </c>
      <c r="T335" s="20">
        <f t="shared" si="38"/>
        <v>0.74884101502252642</v>
      </c>
      <c r="U335" s="20">
        <v>293.17310803055489</v>
      </c>
    </row>
    <row r="336" spans="15:21" x14ac:dyDescent="0.35">
      <c r="O336" s="18">
        <v>5</v>
      </c>
      <c r="P336" s="18">
        <f t="shared" si="36"/>
        <v>1670</v>
      </c>
      <c r="Q336" s="3">
        <f t="shared" si="39"/>
        <v>3.7324269733582167E-5</v>
      </c>
      <c r="R336" s="3">
        <f t="shared" si="35"/>
        <v>1.8662134866791083E-4</v>
      </c>
      <c r="S336" s="3">
        <f t="shared" si="37"/>
        <v>0.1684610197323598</v>
      </c>
      <c r="T336" s="20">
        <f t="shared" si="38"/>
        <v>0.74648539467164332</v>
      </c>
      <c r="U336" s="20">
        <v>293.1606138749699</v>
      </c>
    </row>
    <row r="337" spans="15:21" x14ac:dyDescent="0.35">
      <c r="O337" s="18">
        <v>5</v>
      </c>
      <c r="P337" s="18">
        <f t="shared" si="36"/>
        <v>1675</v>
      </c>
      <c r="Q337" s="3">
        <f t="shared" si="39"/>
        <v>3.7207059960378999E-5</v>
      </c>
      <c r="R337" s="3">
        <f t="shared" si="35"/>
        <v>1.8603529980189498E-4</v>
      </c>
      <c r="S337" s="3">
        <f t="shared" si="37"/>
        <v>0.1686476410810277</v>
      </c>
      <c r="T337" s="20">
        <f t="shared" si="38"/>
        <v>0.74414119920757993</v>
      </c>
      <c r="U337" s="20">
        <v>293.1481802042407</v>
      </c>
    </row>
    <row r="338" spans="15:21" x14ac:dyDescent="0.35">
      <c r="O338" s="18">
        <v>5</v>
      </c>
      <c r="P338" s="18">
        <f t="shared" si="36"/>
        <v>1680</v>
      </c>
      <c r="Q338" s="3">
        <f t="shared" si="39"/>
        <v>3.7090417234465794E-5</v>
      </c>
      <c r="R338" s="3">
        <f t="shared" si="35"/>
        <v>1.8545208617232897E-4</v>
      </c>
      <c r="S338" s="3">
        <f t="shared" si="37"/>
        <v>0.16883367638082961</v>
      </c>
      <c r="T338" s="20">
        <f t="shared" si="38"/>
        <v>0.74180834468931589</v>
      </c>
      <c r="U338" s="20">
        <v>293.13580658630957</v>
      </c>
    </row>
    <row r="339" spans="15:21" x14ac:dyDescent="0.35">
      <c r="O339" s="18">
        <v>5</v>
      </c>
      <c r="P339" s="18">
        <f t="shared" si="36"/>
        <v>1685</v>
      </c>
      <c r="Q339" s="3">
        <f t="shared" si="39"/>
        <v>3.6974337401401369E-5</v>
      </c>
      <c r="R339" s="3">
        <f t="shared" si="35"/>
        <v>1.8487168700700684E-4</v>
      </c>
      <c r="S339" s="3">
        <f t="shared" si="37"/>
        <v>0.16901912846700193</v>
      </c>
      <c r="T339" s="20">
        <f t="shared" si="38"/>
        <v>0.73948674802802739</v>
      </c>
      <c r="U339" s="20">
        <v>293.12349257333614</v>
      </c>
    </row>
    <row r="340" spans="15:21" x14ac:dyDescent="0.35">
      <c r="O340" s="18">
        <v>5</v>
      </c>
      <c r="P340" s="18">
        <f t="shared" si="36"/>
        <v>1690</v>
      </c>
      <c r="Q340" s="3">
        <f t="shared" si="39"/>
        <v>3.6858816348800718E-5</v>
      </c>
      <c r="R340" s="3">
        <f t="shared" si="35"/>
        <v>1.842940817440036E-4</v>
      </c>
      <c r="S340" s="3">
        <f t="shared" si="37"/>
        <v>0.16920400015400894</v>
      </c>
      <c r="T340" s="20">
        <f t="shared" si="38"/>
        <v>0.73717632697601443</v>
      </c>
      <c r="U340" s="20">
        <v>293.11123772799317</v>
      </c>
    </row>
    <row r="341" spans="15:21" x14ac:dyDescent="0.35">
      <c r="O341" s="18">
        <v>5</v>
      </c>
      <c r="P341" s="18">
        <f t="shared" si="36"/>
        <v>1695</v>
      </c>
      <c r="Q341" s="3">
        <f t="shared" si="39"/>
        <v>3.6743850005790319E-5</v>
      </c>
      <c r="R341" s="3">
        <f t="shared" si="35"/>
        <v>1.8371925002895158E-4</v>
      </c>
      <c r="S341" s="3">
        <f t="shared" si="37"/>
        <v>0.16938829423575294</v>
      </c>
      <c r="T341" s="20">
        <f t="shared" si="38"/>
        <v>0.73487700011580637</v>
      </c>
      <c r="U341" s="20">
        <v>293.09904162759096</v>
      </c>
    </row>
    <row r="342" spans="15:21" x14ac:dyDescent="0.35">
      <c r="O342" s="18">
        <v>5</v>
      </c>
      <c r="P342" s="18">
        <f t="shared" si="36"/>
        <v>1700</v>
      </c>
      <c r="Q342" s="3">
        <f t="shared" si="39"/>
        <v>3.6629434342471919E-5</v>
      </c>
      <c r="R342" s="3">
        <f t="shared" si="35"/>
        <v>1.831471717123596E-4</v>
      </c>
      <c r="S342" s="3">
        <f t="shared" si="37"/>
        <v>0.16957201348578188</v>
      </c>
      <c r="T342" s="20">
        <f t="shared" si="38"/>
        <v>0.73258868684943834</v>
      </c>
      <c r="U342" s="20">
        <v>293.08690384609343</v>
      </c>
    </row>
    <row r="343" spans="15:21" x14ac:dyDescent="0.35">
      <c r="O343" s="18">
        <v>5</v>
      </c>
      <c r="P343" s="18">
        <f t="shared" si="36"/>
        <v>1705</v>
      </c>
      <c r="Q343" s="3">
        <f t="shared" si="39"/>
        <v>3.6515565369394718E-5</v>
      </c>
      <c r="R343" s="3">
        <f t="shared" si="35"/>
        <v>1.825778268469736E-4</v>
      </c>
      <c r="S343" s="3">
        <f t="shared" si="37"/>
        <v>0.16975516065749424</v>
      </c>
      <c r="T343" s="20">
        <f t="shared" si="38"/>
        <v>0.73031130738789429</v>
      </c>
      <c r="U343" s="20">
        <v>293.07482393236791</v>
      </c>
    </row>
    <row r="344" spans="15:21" x14ac:dyDescent="0.35">
      <c r="O344" s="18">
        <v>5</v>
      </c>
      <c r="P344" s="18">
        <f t="shared" si="36"/>
        <v>1710</v>
      </c>
      <c r="Q344" s="3">
        <f t="shared" si="39"/>
        <v>3.6402239137035987E-5</v>
      </c>
      <c r="R344" s="3">
        <f t="shared" si="35"/>
        <v>1.8201119568517994E-4</v>
      </c>
      <c r="S344" s="3">
        <f t="shared" si="37"/>
        <v>0.16993773848434121</v>
      </c>
      <c r="T344" s="20">
        <f t="shared" si="38"/>
        <v>0.72804478274071971</v>
      </c>
      <c r="U344" s="20">
        <v>293.06280152815248</v>
      </c>
    </row>
    <row r="345" spans="15:21" x14ac:dyDescent="0.35">
      <c r="O345" s="18">
        <v>5</v>
      </c>
      <c r="P345" s="18">
        <f t="shared" si="36"/>
        <v>1715</v>
      </c>
      <c r="Q345" s="3">
        <f t="shared" si="39"/>
        <v>3.6289451735289635E-5</v>
      </c>
      <c r="R345" s="3">
        <f t="shared" si="35"/>
        <v>1.8144725867644818E-4</v>
      </c>
      <c r="S345" s="3">
        <f t="shared" si="37"/>
        <v>0.17011974968002638</v>
      </c>
      <c r="T345" s="20">
        <f t="shared" si="38"/>
        <v>0.7257890347057927</v>
      </c>
      <c r="U345" s="20">
        <v>293.05083616627655</v>
      </c>
    </row>
    <row r="346" spans="15:21" x14ac:dyDescent="0.35">
      <c r="O346" s="18">
        <v>5</v>
      </c>
      <c r="P346" s="18">
        <f t="shared" si="36"/>
        <v>1720</v>
      </c>
      <c r="Q346" s="3">
        <f t="shared" si="39"/>
        <v>3.6177199292962859E-5</v>
      </c>
      <c r="R346" s="3">
        <f t="shared" si="35"/>
        <v>1.8088599646481429E-4</v>
      </c>
      <c r="S346" s="3">
        <f t="shared" si="37"/>
        <v>0.17030119693870283</v>
      </c>
      <c r="T346" s="20">
        <f t="shared" si="38"/>
        <v>0.72354398585925717</v>
      </c>
      <c r="U346" s="20">
        <v>293.03892743860058</v>
      </c>
    </row>
    <row r="347" spans="15:21" x14ac:dyDescent="0.35">
      <c r="O347" s="18">
        <v>5</v>
      </c>
      <c r="P347" s="18">
        <f t="shared" si="36"/>
        <v>1725</v>
      </c>
      <c r="Q347" s="3">
        <f t="shared" si="39"/>
        <v>3.6065477977280532E-5</v>
      </c>
      <c r="R347" s="3">
        <f t="shared" si="35"/>
        <v>1.8032738988640266E-4</v>
      </c>
      <c r="S347" s="3">
        <f t="shared" si="37"/>
        <v>0.17048208293516764</v>
      </c>
      <c r="T347" s="20">
        <f t="shared" si="38"/>
        <v>0.7213095595456106</v>
      </c>
      <c r="U347" s="20">
        <v>293.02707496337518</v>
      </c>
    </row>
    <row r="348" spans="15:21" x14ac:dyDescent="0.35">
      <c r="O348" s="18">
        <v>5</v>
      </c>
      <c r="P348" s="18">
        <f t="shared" si="36"/>
        <v>1730</v>
      </c>
      <c r="Q348" s="3">
        <f t="shared" si="39"/>
        <v>3.5954283993397431E-5</v>
      </c>
      <c r="R348" s="3">
        <f t="shared" si="35"/>
        <v>1.7977141996698714E-4</v>
      </c>
      <c r="S348" s="3">
        <f t="shared" si="37"/>
        <v>0.17066241032505405</v>
      </c>
      <c r="T348" s="20">
        <f t="shared" si="38"/>
        <v>0.71908567986794858</v>
      </c>
      <c r="U348" s="20">
        <v>293.01527836106249</v>
      </c>
    </row>
    <row r="349" spans="15:21" x14ac:dyDescent="0.35">
      <c r="O349" s="18">
        <v>5</v>
      </c>
      <c r="P349" s="18">
        <f t="shared" si="36"/>
        <v>1735</v>
      </c>
      <c r="Q349" s="3">
        <f t="shared" si="39"/>
        <v>3.5843613583917835E-5</v>
      </c>
      <c r="R349" s="3">
        <f t="shared" si="35"/>
        <v>1.7921806791958917E-4</v>
      </c>
      <c r="S349" s="3">
        <f t="shared" si="37"/>
        <v>0.17084218174502105</v>
      </c>
      <c r="T349" s="20">
        <f t="shared" si="38"/>
        <v>0.71687227167835665</v>
      </c>
      <c r="U349" s="20">
        <v>293.00353717801983</v>
      </c>
    </row>
    <row r="350" spans="15:21" x14ac:dyDescent="0.35">
      <c r="O350" s="18">
        <v>5</v>
      </c>
      <c r="P350" s="18">
        <f t="shared" si="36"/>
        <v>1740</v>
      </c>
      <c r="Q350" s="3">
        <f t="shared" si="39"/>
        <v>3.5733463028422622E-5</v>
      </c>
      <c r="R350" s="3">
        <f t="shared" si="35"/>
        <v>1.7866731514211312E-4</v>
      </c>
      <c r="S350" s="3">
        <f t="shared" si="37"/>
        <v>0.17102139981294065</v>
      </c>
      <c r="T350" s="20">
        <f t="shared" si="38"/>
        <v>0.71466926056845237</v>
      </c>
      <c r="U350" s="20">
        <v>292.99185105818827</v>
      </c>
    </row>
    <row r="351" spans="15:21" x14ac:dyDescent="0.35">
      <c r="O351" s="18">
        <v>5</v>
      </c>
      <c r="P351" s="18">
        <f t="shared" si="36"/>
        <v>1745</v>
      </c>
      <c r="Q351" s="3">
        <f t="shared" si="39"/>
        <v>3.5623828643003621E-5</v>
      </c>
      <c r="R351" s="3">
        <f t="shared" si="35"/>
        <v>1.781191432150181E-4</v>
      </c>
      <c r="S351" s="3">
        <f t="shared" si="37"/>
        <v>0.17120006712808275</v>
      </c>
      <c r="T351" s="20">
        <f t="shared" si="38"/>
        <v>0.71247657286007238</v>
      </c>
      <c r="U351" s="20">
        <v>292.98021960818107</v>
      </c>
    </row>
    <row r="352" spans="15:21" x14ac:dyDescent="0.35">
      <c r="O352" s="18">
        <v>5</v>
      </c>
      <c r="P352" s="18">
        <f t="shared" si="36"/>
        <v>1750</v>
      </c>
      <c r="Q352" s="3">
        <f t="shared" si="39"/>
        <v>3.5514706779805105E-5</v>
      </c>
      <c r="R352" s="3">
        <f t="shared" si="35"/>
        <v>1.7757353389902551E-4</v>
      </c>
      <c r="S352" s="3">
        <f t="shared" si="37"/>
        <v>0.17137818627129778</v>
      </c>
      <c r="T352" s="20">
        <f t="shared" si="38"/>
        <v>0.71029413559610211</v>
      </c>
      <c r="U352" s="20">
        <v>292.96864242530927</v>
      </c>
    </row>
    <row r="353" spans="15:21" x14ac:dyDescent="0.35">
      <c r="O353" s="18">
        <v>5</v>
      </c>
      <c r="P353" s="18">
        <f t="shared" si="36"/>
        <v>1755</v>
      </c>
      <c r="Q353" s="3">
        <f t="shared" si="39"/>
        <v>3.5406093826572298E-5</v>
      </c>
      <c r="R353" s="3">
        <f t="shared" si="35"/>
        <v>1.770304691328615E-4</v>
      </c>
      <c r="S353" s="3">
        <f t="shared" si="37"/>
        <v>0.1715557598051968</v>
      </c>
      <c r="T353" s="20">
        <f t="shared" si="38"/>
        <v>0.70812187653144587</v>
      </c>
      <c r="U353" s="20">
        <v>292.95711916561356</v>
      </c>
    </row>
    <row r="354" spans="15:21" x14ac:dyDescent="0.35">
      <c r="O354" s="18">
        <v>5</v>
      </c>
      <c r="P354" s="18">
        <f t="shared" si="36"/>
        <v>1760</v>
      </c>
      <c r="Q354" s="3">
        <f t="shared" si="39"/>
        <v>3.5297986206206764E-5</v>
      </c>
      <c r="R354" s="3">
        <f t="shared" si="35"/>
        <v>1.7648993103103381E-4</v>
      </c>
      <c r="S354" s="3">
        <f t="shared" si="37"/>
        <v>0.17173279027432967</v>
      </c>
      <c r="T354" s="20">
        <f t="shared" si="38"/>
        <v>0.70595972412413521</v>
      </c>
      <c r="U354" s="20">
        <v>292.94564939499116</v>
      </c>
    </row>
    <row r="355" spans="15:21" x14ac:dyDescent="0.35">
      <c r="O355" s="18">
        <v>5</v>
      </c>
      <c r="P355" s="18">
        <f t="shared" si="36"/>
        <v>1765</v>
      </c>
      <c r="Q355" s="3">
        <f t="shared" si="39"/>
        <v>3.519038037632858E-5</v>
      </c>
      <c r="R355" s="3">
        <f t="shared" si="35"/>
        <v>1.7595190188164289E-4</v>
      </c>
      <c r="S355" s="3">
        <f t="shared" si="37"/>
        <v>0.1719092802053607</v>
      </c>
      <c r="T355" s="20">
        <f t="shared" si="38"/>
        <v>0.70380760752657157</v>
      </c>
      <c r="U355" s="20">
        <v>292.93423278511847</v>
      </c>
    </row>
    <row r="356" spans="15:21" x14ac:dyDescent="0.35">
      <c r="O356" s="18">
        <v>5</v>
      </c>
      <c r="P356" s="18">
        <f t="shared" si="36"/>
        <v>1770</v>
      </c>
      <c r="Q356" s="3">
        <f t="shared" si="39"/>
        <v>3.5083272828845049E-5</v>
      </c>
      <c r="R356" s="3">
        <f t="shared" si="35"/>
        <v>1.7541636414422526E-4</v>
      </c>
      <c r="S356" s="3">
        <f t="shared" si="37"/>
        <v>0.17208523210724233</v>
      </c>
      <c r="T356" s="20">
        <f t="shared" si="38"/>
        <v>0.70166545657690094</v>
      </c>
      <c r="U356" s="20">
        <v>292.92286896668008</v>
      </c>
    </row>
    <row r="357" spans="15:21" x14ac:dyDescent="0.35">
      <c r="O357" s="18">
        <v>5</v>
      </c>
      <c r="P357" s="18">
        <f t="shared" si="36"/>
        <v>1775</v>
      </c>
      <c r="Q357" s="3">
        <f t="shared" si="39"/>
        <v>3.4976660089526108E-5</v>
      </c>
      <c r="R357" s="3">
        <f t="shared" si="35"/>
        <v>1.7488330044763053E-4</v>
      </c>
      <c r="S357" s="3">
        <f t="shared" si="37"/>
        <v>0.17226064847138656</v>
      </c>
      <c r="T357" s="20">
        <f t="shared" si="38"/>
        <v>0.69953320179052214</v>
      </c>
      <c r="U357" s="20">
        <v>292.91155755681177</v>
      </c>
    </row>
    <row r="358" spans="15:21" x14ac:dyDescent="0.35">
      <c r="O358" s="18">
        <v>5</v>
      </c>
      <c r="P358" s="18">
        <f t="shared" si="36"/>
        <v>1780</v>
      </c>
      <c r="Q358" s="3">
        <f t="shared" si="39"/>
        <v>3.4870538717585999E-5</v>
      </c>
      <c r="R358" s="3">
        <f t="shared" si="35"/>
        <v>1.7435269358793E-4</v>
      </c>
      <c r="S358" s="3">
        <f t="shared" si="37"/>
        <v>0.17243553177183418</v>
      </c>
      <c r="T358" s="20">
        <f t="shared" si="38"/>
        <v>0.69741077435171994</v>
      </c>
      <c r="U358" s="20">
        <v>292.90029815008927</v>
      </c>
    </row>
    <row r="359" spans="15:21" x14ac:dyDescent="0.35">
      <c r="O359" s="18">
        <v>5</v>
      </c>
      <c r="P359" s="18">
        <f t="shared" si="36"/>
        <v>1785</v>
      </c>
      <c r="Q359" s="3">
        <f t="shared" si="39"/>
        <v>3.4764905305271301E-5</v>
      </c>
      <c r="R359" s="3">
        <f t="shared" si="35"/>
        <v>1.738245265263565E-4</v>
      </c>
      <c r="S359" s="3">
        <f t="shared" si="37"/>
        <v>0.17260988446542211</v>
      </c>
      <c r="T359" s="20">
        <f t="shared" si="38"/>
        <v>0.69529810610542608</v>
      </c>
      <c r="U359" s="20">
        <v>292.88909043452571</v>
      </c>
    </row>
    <row r="360" spans="15:21" x14ac:dyDescent="0.35">
      <c r="O360" s="18">
        <v>5</v>
      </c>
      <c r="P360" s="18">
        <f t="shared" si="36"/>
        <v>1790</v>
      </c>
      <c r="Q360" s="3">
        <f t="shared" si="39"/>
        <v>3.4659756477455047E-5</v>
      </c>
      <c r="R360" s="3">
        <f t="shared" si="35"/>
        <v>1.7329878238727523E-4</v>
      </c>
      <c r="S360" s="3">
        <f t="shared" si="37"/>
        <v>0.17278370899194848</v>
      </c>
      <c r="T360" s="20">
        <f t="shared" si="38"/>
        <v>0.6931951295491009</v>
      </c>
      <c r="U360" s="20">
        <v>292.87793406565413</v>
      </c>
    </row>
    <row r="361" spans="15:21" x14ac:dyDescent="0.35">
      <c r="O361" s="18">
        <v>5</v>
      </c>
      <c r="P361" s="18">
        <f t="shared" si="36"/>
        <v>1795</v>
      </c>
      <c r="Q361" s="3">
        <f t="shared" si="39"/>
        <v>3.4555088891237121E-5</v>
      </c>
      <c r="R361" s="3">
        <f t="shared" si="35"/>
        <v>1.727754444561856E-4</v>
      </c>
      <c r="S361" s="3">
        <f t="shared" si="37"/>
        <v>0.17295700777433576</v>
      </c>
      <c r="T361" s="20">
        <f t="shared" si="38"/>
        <v>0.69110177782474236</v>
      </c>
      <c r="U361" s="20">
        <v>292.86682866291704</v>
      </c>
    </row>
    <row r="362" spans="15:21" x14ac:dyDescent="0.35">
      <c r="O362" s="18">
        <v>5</v>
      </c>
      <c r="P362" s="18">
        <f t="shared" si="36"/>
        <v>1800</v>
      </c>
      <c r="Q362" s="3">
        <f t="shared" si="39"/>
        <v>3.4450899235550379E-5</v>
      </c>
      <c r="R362" s="3">
        <f t="shared" si="35"/>
        <v>1.722544961777519E-4</v>
      </c>
      <c r="S362" s="3">
        <f t="shared" si="37"/>
        <v>0.17312978321879194</v>
      </c>
      <c r="T362" s="20">
        <f t="shared" si="38"/>
        <v>0.6890179847110075</v>
      </c>
      <c r="U362" s="20">
        <v>292.85577388560711</v>
      </c>
    </row>
    <row r="363" spans="15:21" x14ac:dyDescent="0.35">
      <c r="O363" s="18">
        <v>5</v>
      </c>
      <c r="P363" s="18">
        <f t="shared" si="36"/>
        <v>1805</v>
      </c>
      <c r="Q363" s="3">
        <f t="shared" si="39"/>
        <v>3.4347184230772736E-5</v>
      </c>
      <c r="R363" s="3">
        <f t="shared" si="35"/>
        <v>1.7173592115386367E-4</v>
      </c>
      <c r="S363" s="3">
        <f t="shared" si="37"/>
        <v>0.17330203771496969</v>
      </c>
      <c r="T363" s="20">
        <f t="shared" si="38"/>
        <v>0.68694368461545485</v>
      </c>
      <c r="U363" s="20">
        <v>292.84476936695484</v>
      </c>
    </row>
    <row r="364" spans="15:21" x14ac:dyDescent="0.35">
      <c r="O364" s="18">
        <v>5</v>
      </c>
      <c r="P364" s="18">
        <f t="shared" si="36"/>
        <v>1810</v>
      </c>
      <c r="Q364" s="3">
        <f t="shared" si="39"/>
        <v>3.4243940628345068E-5</v>
      </c>
      <c r="R364" s="3">
        <f t="shared" si="35"/>
        <v>1.7121970314172533E-4</v>
      </c>
      <c r="S364" s="3">
        <f t="shared" si="37"/>
        <v>0.17347377363612354</v>
      </c>
      <c r="T364" s="20">
        <f t="shared" si="38"/>
        <v>0.68487881256690131</v>
      </c>
      <c r="U364" s="20">
        <v>292.83381480425322</v>
      </c>
    </row>
    <row r="365" spans="15:21" x14ac:dyDescent="0.35">
      <c r="O365" s="18">
        <v>5</v>
      </c>
      <c r="P365" s="18">
        <f t="shared" si="36"/>
        <v>1815</v>
      </c>
      <c r="Q365" s="3">
        <f t="shared" si="39"/>
        <v>3.4141165210394658E-5</v>
      </c>
      <c r="R365" s="3">
        <f t="shared" si="35"/>
        <v>1.707058260519733E-4</v>
      </c>
      <c r="S365" s="3">
        <f t="shared" si="37"/>
        <v>0.17364499333926525</v>
      </c>
      <c r="T365" s="20">
        <f t="shared" si="38"/>
        <v>0.68282330420789317</v>
      </c>
      <c r="U365" s="20">
        <v>292.82290982678836</v>
      </c>
    </row>
    <row r="366" spans="15:21" x14ac:dyDescent="0.35">
      <c r="O366" s="18">
        <v>5</v>
      </c>
      <c r="P366" s="18">
        <f t="shared" si="36"/>
        <v>1820</v>
      </c>
      <c r="Q366" s="3">
        <f t="shared" si="39"/>
        <v>3.4038854789364279E-5</v>
      </c>
      <c r="R366" s="3">
        <f t="shared" si="35"/>
        <v>1.7019427394682139E-4</v>
      </c>
      <c r="S366" s="3">
        <f t="shared" si="37"/>
        <v>0.17381569916531722</v>
      </c>
      <c r="T366" s="20">
        <f t="shared" si="38"/>
        <v>0.68077709578728551</v>
      </c>
      <c r="U366" s="20">
        <v>292.81205408743159</v>
      </c>
    </row>
    <row r="367" spans="15:21" x14ac:dyDescent="0.35">
      <c r="O367" s="18">
        <v>5</v>
      </c>
      <c r="P367" s="18">
        <f t="shared" si="36"/>
        <v>1825</v>
      </c>
      <c r="Q367" s="3">
        <f t="shared" si="39"/>
        <v>3.3937006207646671E-5</v>
      </c>
      <c r="R367" s="3">
        <f t="shared" si="35"/>
        <v>1.6968503103823336E-4</v>
      </c>
      <c r="S367" s="3">
        <f t="shared" si="37"/>
        <v>0.17398589343926404</v>
      </c>
      <c r="T367" s="20">
        <f t="shared" si="38"/>
        <v>0.67874012415293339</v>
      </c>
      <c r="U367" s="20">
        <v>292.80124728399113</v>
      </c>
    </row>
    <row r="368" spans="15:21" x14ac:dyDescent="0.35">
      <c r="O368" s="18">
        <v>5</v>
      </c>
      <c r="P368" s="18">
        <f t="shared" si="36"/>
        <v>1830</v>
      </c>
      <c r="Q368" s="3">
        <f t="shared" si="39"/>
        <v>3.3835616337224493E-5</v>
      </c>
      <c r="R368" s="3">
        <f t="shared" si="35"/>
        <v>1.6917808168612246E-4</v>
      </c>
      <c r="S368" s="3">
        <f t="shared" si="37"/>
        <v>0.17415557847030227</v>
      </c>
      <c r="T368" s="20">
        <f t="shared" si="38"/>
        <v>0.67671232674448978</v>
      </c>
      <c r="U368" s="20">
        <v>292.79048910240766</v>
      </c>
    </row>
    <row r="369" spans="15:21" x14ac:dyDescent="0.35">
      <c r="O369" s="18">
        <v>5</v>
      </c>
      <c r="P369" s="18">
        <f t="shared" si="36"/>
        <v>1835</v>
      </c>
      <c r="Q369" s="3">
        <f t="shared" si="39"/>
        <v>3.3734682079315411E-5</v>
      </c>
      <c r="R369" s="3">
        <f t="shared" si="35"/>
        <v>1.6867341039657706E-4</v>
      </c>
      <c r="S369" s="3">
        <f t="shared" si="37"/>
        <v>0.1743247565519884</v>
      </c>
      <c r="T369" s="20">
        <f t="shared" si="38"/>
        <v>0.67469364158630818</v>
      </c>
      <c r="U369" s="20">
        <v>292.77977912507174</v>
      </c>
    </row>
    <row r="370" spans="15:21" x14ac:dyDescent="0.35">
      <c r="O370" s="18">
        <v>5</v>
      </c>
      <c r="P370" s="18">
        <f t="shared" si="36"/>
        <v>1840</v>
      </c>
      <c r="Q370" s="3">
        <f t="shared" si="39"/>
        <v>3.3634200364022442E-5</v>
      </c>
      <c r="R370" s="3">
        <f t="shared" si="35"/>
        <v>1.681710018201122E-4</v>
      </c>
      <c r="S370" s="3">
        <f t="shared" si="37"/>
        <v>0.17449342996238498</v>
      </c>
      <c r="T370" s="20">
        <f t="shared" si="38"/>
        <v>0.67268400728044886</v>
      </c>
      <c r="U370" s="20">
        <v>292.769117112174</v>
      </c>
    </row>
    <row r="371" spans="15:21" x14ac:dyDescent="0.35">
      <c r="O371" s="18">
        <v>5</v>
      </c>
      <c r="P371" s="18">
        <f t="shared" si="36"/>
        <v>1845</v>
      </c>
      <c r="Q371" s="3">
        <f t="shared" si="39"/>
        <v>3.3534168149989437E-5</v>
      </c>
      <c r="R371" s="3">
        <f t="shared" si="35"/>
        <v>1.6767084074994717E-4</v>
      </c>
      <c r="S371" s="3">
        <f t="shared" si="37"/>
        <v>0.1746616009642051</v>
      </c>
      <c r="T371" s="20">
        <f t="shared" si="38"/>
        <v>0.6706833629997887</v>
      </c>
      <c r="U371" s="20">
        <v>292.75850271864385</v>
      </c>
    </row>
    <row r="372" spans="15:21" x14ac:dyDescent="0.35">
      <c r="O372" s="18">
        <v>5</v>
      </c>
      <c r="P372" s="18">
        <f t="shared" si="36"/>
        <v>1850</v>
      </c>
      <c r="Q372" s="3">
        <f t="shared" si="39"/>
        <v>3.3434582424061466E-5</v>
      </c>
      <c r="R372" s="3">
        <f t="shared" si="35"/>
        <v>1.6717291212030733E-4</v>
      </c>
      <c r="S372" s="3">
        <f t="shared" si="37"/>
        <v>0.17482927180495506</v>
      </c>
      <c r="T372" s="20">
        <f t="shared" si="38"/>
        <v>0.66869164848122931</v>
      </c>
      <c r="U372" s="20">
        <v>292.74793562838755</v>
      </c>
    </row>
    <row r="373" spans="15:21" x14ac:dyDescent="0.35">
      <c r="O373" s="18">
        <v>5</v>
      </c>
      <c r="P373" s="18">
        <f t="shared" si="36"/>
        <v>1855</v>
      </c>
      <c r="Q373" s="3">
        <f t="shared" si="39"/>
        <v>3.3335440200950166E-5</v>
      </c>
      <c r="R373" s="3">
        <f t="shared" si="35"/>
        <v>1.6667720100475082E-4</v>
      </c>
      <c r="S373" s="3">
        <f t="shared" si="37"/>
        <v>0.17499644471707537</v>
      </c>
      <c r="T373" s="20">
        <f t="shared" si="38"/>
        <v>0.66670880401900334</v>
      </c>
      <c r="U373" s="20">
        <v>292.73741552354318</v>
      </c>
    </row>
    <row r="374" spans="15:21" x14ac:dyDescent="0.35">
      <c r="O374" s="18">
        <v>5</v>
      </c>
      <c r="P374" s="18">
        <f t="shared" si="36"/>
        <v>1860</v>
      </c>
      <c r="Q374" s="3">
        <f t="shared" si="39"/>
        <v>3.3236738522903996E-5</v>
      </c>
      <c r="R374" s="3">
        <f t="shared" si="35"/>
        <v>1.6618369261451997E-4</v>
      </c>
      <c r="S374" s="3">
        <f t="shared" si="37"/>
        <v>0.17516312191808012</v>
      </c>
      <c r="T374" s="20">
        <f t="shared" si="38"/>
        <v>0.66473477045807994</v>
      </c>
      <c r="U374" s="20">
        <v>292.72694204102669</v>
      </c>
    </row>
    <row r="375" spans="15:21" x14ac:dyDescent="0.35">
      <c r="O375" s="18">
        <v>5</v>
      </c>
      <c r="P375" s="18">
        <f t="shared" si="36"/>
        <v>1865</v>
      </c>
      <c r="Q375" s="3">
        <f t="shared" si="39"/>
        <v>3.3138474459383098E-5</v>
      </c>
      <c r="R375" s="3">
        <f t="shared" si="35"/>
        <v>1.6569237229691549E-4</v>
      </c>
      <c r="S375" s="3">
        <f t="shared" si="37"/>
        <v>0.17532930561069462</v>
      </c>
      <c r="T375" s="20">
        <f t="shared" si="38"/>
        <v>0.66276948918766188</v>
      </c>
      <c r="U375" s="20">
        <v>292.71651495320754</v>
      </c>
    </row>
    <row r="376" spans="15:21" x14ac:dyDescent="0.35">
      <c r="O376" s="18">
        <v>5</v>
      </c>
      <c r="P376" s="18">
        <f t="shared" si="36"/>
        <v>1870</v>
      </c>
      <c r="Q376" s="3">
        <f t="shared" si="39"/>
        <v>3.3040645106738958E-5</v>
      </c>
      <c r="R376" s="3">
        <f t="shared" si="35"/>
        <v>1.652032255336948E-4</v>
      </c>
      <c r="S376" s="3">
        <f t="shared" si="37"/>
        <v>0.17549499798299154</v>
      </c>
      <c r="T376" s="20">
        <f t="shared" si="38"/>
        <v>0.66081290213477917</v>
      </c>
      <c r="U376" s="20">
        <v>292.70613391751692</v>
      </c>
    </row>
    <row r="377" spans="15:21" x14ac:dyDescent="0.35">
      <c r="O377" s="18">
        <v>5</v>
      </c>
      <c r="P377" s="18">
        <f t="shared" si="36"/>
        <v>1875</v>
      </c>
      <c r="Q377" s="3">
        <f t="shared" si="39"/>
        <v>3.2943247587898642E-5</v>
      </c>
      <c r="R377" s="3">
        <f t="shared" si="35"/>
        <v>1.6471623793949322E-4</v>
      </c>
      <c r="S377" s="3">
        <f t="shared" si="37"/>
        <v>0.17566020120852524</v>
      </c>
      <c r="T377" s="20">
        <f t="shared" si="38"/>
        <v>0.65886495175797277</v>
      </c>
      <c r="U377" s="20">
        <v>292.69579862940753</v>
      </c>
    </row>
    <row r="378" spans="15:21" x14ac:dyDescent="0.35">
      <c r="O378" s="18">
        <v>5</v>
      </c>
      <c r="P378" s="18">
        <f t="shared" si="36"/>
        <v>1880</v>
      </c>
      <c r="Q378" s="3">
        <f t="shared" si="39"/>
        <v>3.2846279052053482E-5</v>
      </c>
      <c r="R378" s="3">
        <f t="shared" si="35"/>
        <v>1.6423139526026742E-4</v>
      </c>
      <c r="S378" s="3">
        <f t="shared" si="37"/>
        <v>0.17582491744646472</v>
      </c>
      <c r="T378" s="20">
        <f t="shared" si="38"/>
        <v>0.65692558104106957</v>
      </c>
      <c r="U378" s="20">
        <v>292.68550879491528</v>
      </c>
    </row>
    <row r="379" spans="15:21" x14ac:dyDescent="0.35">
      <c r="O379" s="18">
        <v>5</v>
      </c>
      <c r="P379" s="18">
        <f t="shared" si="36"/>
        <v>1885</v>
      </c>
      <c r="Q379" s="3">
        <f t="shared" si="39"/>
        <v>3.2749736674352278E-5</v>
      </c>
      <c r="R379" s="3">
        <f t="shared" si="35"/>
        <v>1.6374868337176138E-4</v>
      </c>
      <c r="S379" s="3">
        <f t="shared" si="37"/>
        <v>0.17598914884172498</v>
      </c>
      <c r="T379" s="20">
        <f t="shared" si="38"/>
        <v>0.65499473348704551</v>
      </c>
      <c r="U379" s="20">
        <v>292.67526411360097</v>
      </c>
    </row>
    <row r="380" spans="15:21" x14ac:dyDescent="0.35">
      <c r="O380" s="18">
        <v>5</v>
      </c>
      <c r="P380" s="18">
        <f t="shared" si="36"/>
        <v>1890</v>
      </c>
      <c r="Q380" s="3">
        <f t="shared" si="39"/>
        <v>3.2653617655598773E-5</v>
      </c>
      <c r="R380" s="3">
        <f t="shared" si="35"/>
        <v>1.6326808827799385E-4</v>
      </c>
      <c r="S380" s="3">
        <f t="shared" si="37"/>
        <v>0.17615289752509675</v>
      </c>
      <c r="T380" s="20">
        <f t="shared" si="38"/>
        <v>0.65307235311197542</v>
      </c>
      <c r="U380" s="20">
        <v>292.66506427212823</v>
      </c>
    </row>
    <row r="381" spans="15:21" x14ac:dyDescent="0.35">
      <c r="O381" s="18">
        <v>5</v>
      </c>
      <c r="P381" s="18">
        <f t="shared" si="36"/>
        <v>1895</v>
      </c>
      <c r="Q381" s="3">
        <f t="shared" si="39"/>
        <v>3.2557919221953567E-5</v>
      </c>
      <c r="R381" s="3">
        <f t="shared" si="35"/>
        <v>1.6278959610976782E-4</v>
      </c>
      <c r="S381" s="3">
        <f t="shared" si="37"/>
        <v>0.17631616561337474</v>
      </c>
      <c r="T381" s="20">
        <f t="shared" si="38"/>
        <v>0.65115838443907126</v>
      </c>
      <c r="U381" s="20">
        <v>292.6549089687482</v>
      </c>
    </row>
    <row r="382" spans="15:21" x14ac:dyDescent="0.35">
      <c r="O382" s="18">
        <v>5</v>
      </c>
      <c r="P382" s="18">
        <f t="shared" si="36"/>
        <v>1900</v>
      </c>
      <c r="Q382" s="3">
        <f t="shared" si="39"/>
        <v>3.2462638624640084E-5</v>
      </c>
      <c r="R382" s="3">
        <f t="shared" si="35"/>
        <v>1.623131931232004E-4</v>
      </c>
      <c r="S382" s="3">
        <f t="shared" si="37"/>
        <v>0.17647895520948451</v>
      </c>
      <c r="T382" s="20">
        <f t="shared" si="38"/>
        <v>0.64925277249280167</v>
      </c>
      <c r="U382" s="20">
        <v>292.64479795198588</v>
      </c>
    </row>
    <row r="383" spans="15:21" x14ac:dyDescent="0.35">
      <c r="O383" s="18">
        <v>5</v>
      </c>
      <c r="P383" s="18">
        <f t="shared" si="36"/>
        <v>1905</v>
      </c>
      <c r="Q383" s="3">
        <f t="shared" si="39"/>
        <v>3.2367773139654813E-5</v>
      </c>
      <c r="R383" s="3">
        <f t="shared" si="35"/>
        <v>1.6183886569827406E-4</v>
      </c>
      <c r="S383" s="3">
        <f t="shared" si="37"/>
        <v>0.17664126840260772</v>
      </c>
      <c r="T383" s="20">
        <f t="shared" si="38"/>
        <v>0.64735546279309619</v>
      </c>
      <c r="U383" s="20">
        <v>292.63473092331975</v>
      </c>
    </row>
    <row r="384" spans="15:21" x14ac:dyDescent="0.35">
      <c r="O384" s="18">
        <v>5</v>
      </c>
      <c r="P384" s="18">
        <f t="shared" si="36"/>
        <v>1910</v>
      </c>
      <c r="Q384" s="3">
        <f t="shared" si="39"/>
        <v>3.227332006748158E-5</v>
      </c>
      <c r="R384" s="3">
        <f t="shared" si="35"/>
        <v>1.613666003374079E-4</v>
      </c>
      <c r="S384" s="3">
        <f t="shared" si="37"/>
        <v>0.17680310726830598</v>
      </c>
      <c r="T384" s="20">
        <f t="shared" si="38"/>
        <v>0.64546640134963151</v>
      </c>
      <c r="U384" s="20">
        <v>292.62470757285513</v>
      </c>
    </row>
    <row r="385" spans="15:21" x14ac:dyDescent="0.35">
      <c r="O385" s="18">
        <v>5</v>
      </c>
      <c r="P385" s="18">
        <f t="shared" si="36"/>
        <v>1915</v>
      </c>
      <c r="Q385" s="3">
        <f t="shared" si="39"/>
        <v>3.2179276732809802E-5</v>
      </c>
      <c r="R385" s="3">
        <f t="shared" si="35"/>
        <v>1.6089638366404902E-4</v>
      </c>
      <c r="S385" s="3">
        <f t="shared" si="37"/>
        <v>0.17696447386864339</v>
      </c>
      <c r="T385" s="20">
        <f t="shared" si="38"/>
        <v>0.64358553465619606</v>
      </c>
      <c r="U385" s="20">
        <v>292.61472764271377</v>
      </c>
    </row>
    <row r="386" spans="15:21" x14ac:dyDescent="0.35">
      <c r="O386" s="18">
        <v>5</v>
      </c>
      <c r="P386" s="18">
        <f t="shared" si="36"/>
        <v>1920</v>
      </c>
      <c r="Q386" s="3">
        <f t="shared" si="39"/>
        <v>3.2085640484256799E-5</v>
      </c>
      <c r="R386" s="3">
        <f t="shared" ref="R386:R449" si="40">Q386*O386</f>
        <v>1.60428202421284E-4</v>
      </c>
      <c r="S386" s="3">
        <f t="shared" si="37"/>
        <v>0.17712537025230743</v>
      </c>
      <c r="T386" s="20">
        <f t="shared" si="38"/>
        <v>0.641712809685136</v>
      </c>
      <c r="U386" s="20">
        <v>292.60479087298023</v>
      </c>
    </row>
    <row r="387" spans="15:21" x14ac:dyDescent="0.35">
      <c r="O387" s="18">
        <v>5</v>
      </c>
      <c r="P387" s="18">
        <f t="shared" ref="P387:P450" si="41">O387+P386</f>
        <v>1925</v>
      </c>
      <c r="Q387" s="3">
        <f t="shared" si="39"/>
        <v>3.1992408694093834E-5</v>
      </c>
      <c r="R387" s="3">
        <f t="shared" si="40"/>
        <v>1.5996204347046918E-4</v>
      </c>
      <c r="S387" s="3">
        <f t="shared" ref="S387:S450" si="42">S386+R386</f>
        <v>0.17728579845472872</v>
      </c>
      <c r="T387" s="20">
        <f t="shared" ref="T387:T450" si="43">Q387*$B$9*$B$2*0.5/$B$11</f>
        <v>0.63984817388187665</v>
      </c>
      <c r="U387" s="20">
        <v>292.59489689368735</v>
      </c>
    </row>
    <row r="388" spans="15:21" x14ac:dyDescent="0.35">
      <c r="O388" s="18">
        <v>5</v>
      </c>
      <c r="P388" s="18">
        <f t="shared" si="41"/>
        <v>1930</v>
      </c>
      <c r="Q388" s="3">
        <f t="shared" ref="Q388:Q451" si="44">$T$2*(1-(S388/$B$12))/($B$9*((0.5*$B$2/$B$11)+(S388/$B$10)))</f>
        <v>3.1899578757976102E-5</v>
      </c>
      <c r="R388" s="3">
        <f t="shared" si="40"/>
        <v>1.5949789378988052E-4</v>
      </c>
      <c r="S388" s="3">
        <f t="shared" si="42"/>
        <v>0.17744576049819918</v>
      </c>
      <c r="T388" s="20">
        <f t="shared" si="43"/>
        <v>0.63799157515952198</v>
      </c>
      <c r="U388" s="20">
        <v>292.58504553096429</v>
      </c>
    </row>
    <row r="389" spans="15:21" x14ac:dyDescent="0.35">
      <c r="O389" s="18">
        <v>5</v>
      </c>
      <c r="P389" s="18">
        <f t="shared" si="41"/>
        <v>1935</v>
      </c>
      <c r="Q389" s="3">
        <f t="shared" si="44"/>
        <v>3.180714809467641E-5</v>
      </c>
      <c r="R389" s="3">
        <f t="shared" si="40"/>
        <v>1.5903574047338204E-4</v>
      </c>
      <c r="S389" s="3">
        <f t="shared" si="42"/>
        <v>0.17760525839198907</v>
      </c>
      <c r="T389" s="20">
        <f t="shared" si="43"/>
        <v>0.63614296189352815</v>
      </c>
      <c r="U389" s="20">
        <v>292.5752364873544</v>
      </c>
    </row>
    <row r="390" spans="15:21" x14ac:dyDescent="0.35">
      <c r="O390" s="18">
        <v>5</v>
      </c>
      <c r="P390" s="18">
        <f t="shared" si="41"/>
        <v>1940</v>
      </c>
      <c r="Q390" s="3">
        <f t="shared" si="44"/>
        <v>3.1715114145822559E-5</v>
      </c>
      <c r="R390" s="3">
        <f t="shared" si="40"/>
        <v>1.5857557072911278E-4</v>
      </c>
      <c r="S390" s="3">
        <f t="shared" si="42"/>
        <v>0.17776429413246245</v>
      </c>
      <c r="T390" s="20">
        <f t="shared" si="43"/>
        <v>0.63430228291645119</v>
      </c>
      <c r="U390" s="20">
        <v>292.56546943660391</v>
      </c>
    </row>
    <row r="391" spans="15:21" x14ac:dyDescent="0.35">
      <c r="O391" s="18">
        <v>5</v>
      </c>
      <c r="P391" s="18">
        <f t="shared" si="41"/>
        <v>1945</v>
      </c>
      <c r="Q391" s="3">
        <f t="shared" si="44"/>
        <v>3.1623474375638352E-5</v>
      </c>
      <c r="R391" s="3">
        <f t="shared" si="40"/>
        <v>1.5811737187819175E-4</v>
      </c>
      <c r="S391" s="3">
        <f t="shared" si="42"/>
        <v>0.17792286970319157</v>
      </c>
      <c r="T391" s="20">
        <f t="shared" si="43"/>
        <v>0.63246948751276699</v>
      </c>
      <c r="U391" s="20">
        <v>292.5557441546681</v>
      </c>
    </row>
    <row r="392" spans="15:21" x14ac:dyDescent="0.35">
      <c r="O392" s="18">
        <v>5</v>
      </c>
      <c r="P392" s="18">
        <f t="shared" si="41"/>
        <v>1950</v>
      </c>
      <c r="Q392" s="3">
        <f t="shared" si="44"/>
        <v>3.1532226270688237E-5</v>
      </c>
      <c r="R392" s="3">
        <f t="shared" si="40"/>
        <v>1.5766113135344119E-4</v>
      </c>
      <c r="S392" s="3">
        <f t="shared" si="42"/>
        <v>0.17808098707506975</v>
      </c>
      <c r="T392" s="20">
        <f t="shared" si="43"/>
        <v>0.6306445254137647</v>
      </c>
      <c r="U392" s="20">
        <v>292.54606038784198</v>
      </c>
    </row>
    <row r="393" spans="15:21" x14ac:dyDescent="0.35">
      <c r="O393" s="18">
        <v>5</v>
      </c>
      <c r="P393" s="18">
        <f t="shared" si="41"/>
        <v>1955</v>
      </c>
      <c r="Q393" s="3">
        <f t="shared" si="44"/>
        <v>3.1441367339625358E-5</v>
      </c>
      <c r="R393" s="3">
        <f t="shared" si="40"/>
        <v>1.5720683669812678E-4</v>
      </c>
      <c r="S393" s="3">
        <f t="shared" si="42"/>
        <v>0.17823864820642318</v>
      </c>
      <c r="T393" s="20">
        <f t="shared" si="43"/>
        <v>0.62882734679250718</v>
      </c>
      <c r="U393" s="20">
        <v>292.5364178542801</v>
      </c>
    </row>
    <row r="394" spans="15:21" x14ac:dyDescent="0.35">
      <c r="O394" s="18">
        <v>5</v>
      </c>
      <c r="P394" s="18">
        <f t="shared" si="41"/>
        <v>1960</v>
      </c>
      <c r="Q394" s="3">
        <f t="shared" si="44"/>
        <v>3.1350895112943147E-5</v>
      </c>
      <c r="R394" s="3">
        <f t="shared" si="40"/>
        <v>1.5675447556471575E-4</v>
      </c>
      <c r="S394" s="3">
        <f t="shared" si="42"/>
        <v>0.1783958550431213</v>
      </c>
      <c r="T394" s="20">
        <f t="shared" si="43"/>
        <v>0.62701790225886289</v>
      </c>
      <c r="U394" s="20">
        <v>292.52681632526787</v>
      </c>
    </row>
    <row r="395" spans="15:21" x14ac:dyDescent="0.35">
      <c r="O395" s="18">
        <v>5</v>
      </c>
      <c r="P395" s="18">
        <f t="shared" si="41"/>
        <v>1965</v>
      </c>
      <c r="Q395" s="3">
        <f t="shared" si="44"/>
        <v>3.1260807142730313E-5</v>
      </c>
      <c r="R395" s="3">
        <f t="shared" si="40"/>
        <v>1.5630403571365156E-4</v>
      </c>
      <c r="S395" s="3">
        <f t="shared" si="42"/>
        <v>0.17855260951868601</v>
      </c>
      <c r="T395" s="20">
        <f t="shared" si="43"/>
        <v>0.62521614285460625</v>
      </c>
      <c r="U395" s="20">
        <v>292.51725545610913</v>
      </c>
    </row>
    <row r="396" spans="15:21" x14ac:dyDescent="0.35">
      <c r="O396" s="18">
        <v>5</v>
      </c>
      <c r="P396" s="18">
        <f t="shared" si="41"/>
        <v>1970</v>
      </c>
      <c r="Q396" s="3">
        <f t="shared" si="44"/>
        <v>3.1171101002429141E-5</v>
      </c>
      <c r="R396" s="3">
        <f t="shared" si="40"/>
        <v>1.558555050121457E-4</v>
      </c>
      <c r="S396" s="3">
        <f t="shared" si="42"/>
        <v>0.17870891355439966</v>
      </c>
      <c r="T396" s="20">
        <f t="shared" si="43"/>
        <v>0.62342202004858283</v>
      </c>
      <c r="U396" s="20">
        <v>292.50773507294491</v>
      </c>
    </row>
    <row r="397" spans="15:21" x14ac:dyDescent="0.35">
      <c r="O397" s="18">
        <v>5</v>
      </c>
      <c r="P397" s="18">
        <f t="shared" si="41"/>
        <v>1975</v>
      </c>
      <c r="Q397" s="3">
        <f t="shared" si="44"/>
        <v>3.1081774286597115E-5</v>
      </c>
      <c r="R397" s="3">
        <f t="shared" si="40"/>
        <v>1.5540887143298556E-4</v>
      </c>
      <c r="S397" s="3">
        <f t="shared" si="42"/>
        <v>0.17886476905941182</v>
      </c>
      <c r="T397" s="20">
        <f t="shared" si="43"/>
        <v>0.62163548573194227</v>
      </c>
      <c r="U397" s="20">
        <v>292.49825489477428</v>
      </c>
    </row>
    <row r="398" spans="15:21" x14ac:dyDescent="0.35">
      <c r="O398" s="18">
        <v>5</v>
      </c>
      <c r="P398" s="18">
        <f t="shared" si="41"/>
        <v>1980</v>
      </c>
      <c r="Q398" s="3">
        <f t="shared" si="44"/>
        <v>3.0992824610671776E-5</v>
      </c>
      <c r="R398" s="3">
        <f t="shared" si="40"/>
        <v>1.5496412305335887E-4</v>
      </c>
      <c r="S398" s="3">
        <f t="shared" si="42"/>
        <v>0.17902017793084479</v>
      </c>
      <c r="T398" s="20">
        <f t="shared" si="43"/>
        <v>0.61985649221343553</v>
      </c>
      <c r="U398" s="20">
        <v>292.48881468221396</v>
      </c>
    </row>
    <row r="399" spans="15:21" x14ac:dyDescent="0.35">
      <c r="O399" s="18">
        <v>5</v>
      </c>
      <c r="P399" s="18">
        <f t="shared" si="41"/>
        <v>1985</v>
      </c>
      <c r="Q399" s="3">
        <f t="shared" si="44"/>
        <v>3.090424961073875E-5</v>
      </c>
      <c r="R399" s="3">
        <f t="shared" si="40"/>
        <v>1.5452124805369376E-4</v>
      </c>
      <c r="S399" s="3">
        <f t="shared" si="42"/>
        <v>0.17917514205389815</v>
      </c>
      <c r="T399" s="20">
        <f t="shared" si="43"/>
        <v>0.61808499221477498</v>
      </c>
      <c r="U399" s="20">
        <v>292.47941415713348</v>
      </c>
    </row>
    <row r="400" spans="15:21" x14ac:dyDescent="0.35">
      <c r="O400" s="18">
        <v>5</v>
      </c>
      <c r="P400" s="18">
        <f t="shared" si="41"/>
        <v>1990</v>
      </c>
      <c r="Q400" s="3">
        <f t="shared" si="44"/>
        <v>3.0816046943302955E-5</v>
      </c>
      <c r="R400" s="3">
        <f t="shared" si="40"/>
        <v>1.5408023471651477E-4</v>
      </c>
      <c r="S400" s="3">
        <f t="shared" si="42"/>
        <v>0.17932966330195185</v>
      </c>
      <c r="T400" s="20">
        <f t="shared" si="43"/>
        <v>0.6163209388660591</v>
      </c>
      <c r="U400" s="20">
        <v>292.47005310747414</v>
      </c>
    </row>
    <row r="401" spans="15:21" x14ac:dyDescent="0.35">
      <c r="O401" s="18">
        <v>5</v>
      </c>
      <c r="P401" s="18">
        <f t="shared" si="41"/>
        <v>1995</v>
      </c>
      <c r="Q401" s="3">
        <f t="shared" si="44"/>
        <v>3.0728214285062867E-5</v>
      </c>
      <c r="R401" s="3">
        <f t="shared" si="40"/>
        <v>1.5364107142531433E-4</v>
      </c>
      <c r="S401" s="3">
        <f t="shared" si="42"/>
        <v>0.17948374353666838</v>
      </c>
      <c r="T401" s="20">
        <f t="shared" si="43"/>
        <v>0.61456428570125732</v>
      </c>
      <c r="U401" s="20">
        <v>292.46073121761134</v>
      </c>
    </row>
    <row r="402" spans="15:21" x14ac:dyDescent="0.35">
      <c r="O402" s="18">
        <v>5</v>
      </c>
      <c r="P402" s="18">
        <f t="shared" si="41"/>
        <v>2000</v>
      </c>
      <c r="Q402" s="3">
        <f t="shared" si="44"/>
        <v>3.0640749332687823E-5</v>
      </c>
      <c r="R402" s="3">
        <f t="shared" si="40"/>
        <v>1.5320374666343912E-4</v>
      </c>
      <c r="S402" s="3">
        <f t="shared" si="42"/>
        <v>0.1796373846080937</v>
      </c>
      <c r="T402" s="20">
        <f t="shared" si="43"/>
        <v>0.61281498665375644</v>
      </c>
      <c r="U402" s="20">
        <v>292.4514483285584</v>
      </c>
    </row>
    <row r="403" spans="15:21" x14ac:dyDescent="0.35">
      <c r="O403" s="18">
        <v>5</v>
      </c>
      <c r="P403" s="18">
        <f t="shared" si="41"/>
        <v>2005</v>
      </c>
      <c r="Q403" s="3">
        <f t="shared" si="44"/>
        <v>3.0553649802598336E-5</v>
      </c>
      <c r="R403" s="3">
        <f t="shared" si="40"/>
        <v>1.5276824901299169E-4</v>
      </c>
      <c r="S403" s="3">
        <f t="shared" si="42"/>
        <v>0.17979058835475714</v>
      </c>
      <c r="T403" s="20">
        <f t="shared" si="43"/>
        <v>0.61107299605196674</v>
      </c>
      <c r="U403" s="20">
        <v>292.44220414947483</v>
      </c>
    </row>
    <row r="404" spans="15:21" x14ac:dyDescent="0.35">
      <c r="O404" s="18">
        <v>5</v>
      </c>
      <c r="P404" s="18">
        <f t="shared" si="41"/>
        <v>2010</v>
      </c>
      <c r="Q404" s="3">
        <f t="shared" si="44"/>
        <v>3.0466913430749302E-5</v>
      </c>
      <c r="R404" s="3">
        <f t="shared" si="40"/>
        <v>1.523345671537465E-4</v>
      </c>
      <c r="S404" s="3">
        <f t="shared" si="42"/>
        <v>0.17994335660377014</v>
      </c>
      <c r="T404" s="20">
        <f t="shared" si="43"/>
        <v>0.60933826861498597</v>
      </c>
      <c r="U404" s="20">
        <v>292.4329984677363</v>
      </c>
    </row>
    <row r="405" spans="15:21" x14ac:dyDescent="0.35">
      <c r="O405" s="18">
        <v>5</v>
      </c>
      <c r="P405" s="18">
        <f t="shared" si="41"/>
        <v>2015</v>
      </c>
      <c r="Q405" s="3">
        <f t="shared" si="44"/>
        <v>3.0380537972416205E-5</v>
      </c>
      <c r="R405" s="3">
        <f t="shared" si="40"/>
        <v>1.5190268986208102E-4</v>
      </c>
      <c r="S405" s="3">
        <f t="shared" si="42"/>
        <v>0.18009569117092389</v>
      </c>
      <c r="T405" s="20">
        <f t="shared" si="43"/>
        <v>0.6076107594483241</v>
      </c>
      <c r="U405" s="20">
        <v>292.42383103114281</v>
      </c>
    </row>
    <row r="406" spans="15:21" x14ac:dyDescent="0.35">
      <c r="O406" s="18">
        <v>5</v>
      </c>
      <c r="P406" s="18">
        <f t="shared" si="41"/>
        <v>2020</v>
      </c>
      <c r="Q406" s="3">
        <f t="shared" si="44"/>
        <v>3.0294521201984063E-5</v>
      </c>
      <c r="R406" s="3">
        <f t="shared" si="40"/>
        <v>1.5147260600992032E-4</v>
      </c>
      <c r="S406" s="3">
        <f t="shared" si="42"/>
        <v>0.18024759386078598</v>
      </c>
      <c r="T406" s="20">
        <f t="shared" si="43"/>
        <v>0.60589042403968119</v>
      </c>
      <c r="U406" s="20">
        <v>292.41470161716813</v>
      </c>
    </row>
    <row r="407" spans="15:21" x14ac:dyDescent="0.35">
      <c r="O407" s="18">
        <v>5</v>
      </c>
      <c r="P407" s="18">
        <f t="shared" si="41"/>
        <v>2025</v>
      </c>
      <c r="Q407" s="3">
        <f t="shared" si="44"/>
        <v>3.0208860912739253E-5</v>
      </c>
      <c r="R407" s="3">
        <f t="shared" si="40"/>
        <v>1.5104430456369626E-4</v>
      </c>
      <c r="S407" s="3">
        <f t="shared" si="42"/>
        <v>0.1803990664667959</v>
      </c>
      <c r="T407" s="20">
        <f t="shared" si="43"/>
        <v>0.6041772182547851</v>
      </c>
      <c r="U407" s="20">
        <v>292.40560993298476</v>
      </c>
    </row>
    <row r="408" spans="15:21" x14ac:dyDescent="0.35">
      <c r="O408" s="18">
        <v>5</v>
      </c>
      <c r="P408" s="18">
        <f t="shared" si="41"/>
        <v>2030</v>
      </c>
      <c r="Q408" s="3">
        <f t="shared" si="44"/>
        <v>3.0123554916664065E-5</v>
      </c>
      <c r="R408" s="3">
        <f t="shared" si="40"/>
        <v>1.5061777458332033E-4</v>
      </c>
      <c r="S408" s="3">
        <f t="shared" si="42"/>
        <v>0.1805501107713596</v>
      </c>
      <c r="T408" s="20">
        <f t="shared" si="43"/>
        <v>0.60247109833328139</v>
      </c>
      <c r="U408" s="20">
        <v>292.39655582509073</v>
      </c>
    </row>
    <row r="409" spans="15:21" x14ac:dyDescent="0.35">
      <c r="O409" s="18">
        <v>5</v>
      </c>
      <c r="P409" s="18">
        <f t="shared" si="41"/>
        <v>2035</v>
      </c>
      <c r="Q409" s="3">
        <f t="shared" si="44"/>
        <v>3.0038601044233978E-5</v>
      </c>
      <c r="R409" s="3">
        <f t="shared" si="40"/>
        <v>1.5019300522116989E-4</v>
      </c>
      <c r="S409" s="3">
        <f t="shared" si="42"/>
        <v>0.18070072854594293</v>
      </c>
      <c r="T409" s="20">
        <f t="shared" si="43"/>
        <v>0.60077202088467963</v>
      </c>
      <c r="U409" s="20">
        <v>292.38753903234368</v>
      </c>
    </row>
    <row r="410" spans="15:21" x14ac:dyDescent="0.35">
      <c r="O410" s="18">
        <v>5</v>
      </c>
      <c r="P410" s="18">
        <f t="shared" si="41"/>
        <v>2040</v>
      </c>
      <c r="Q410" s="3">
        <f t="shared" si="44"/>
        <v>2.9953997144217656E-5</v>
      </c>
      <c r="R410" s="3">
        <f t="shared" si="40"/>
        <v>1.4976998572108829E-4</v>
      </c>
      <c r="S410" s="3">
        <f t="shared" si="42"/>
        <v>0.18085092155116411</v>
      </c>
      <c r="T410" s="20">
        <f t="shared" si="43"/>
        <v>0.59907994288435318</v>
      </c>
      <c r="U410" s="20">
        <v>292.37855932922531</v>
      </c>
    </row>
    <row r="411" spans="15:21" x14ac:dyDescent="0.35">
      <c r="O411" s="18">
        <v>5</v>
      </c>
      <c r="P411" s="18">
        <f t="shared" si="41"/>
        <v>2045</v>
      </c>
      <c r="Q411" s="3">
        <f t="shared" si="44"/>
        <v>2.9869741083479503E-5</v>
      </c>
      <c r="R411" s="3">
        <f t="shared" si="40"/>
        <v>1.493487054173975E-4</v>
      </c>
      <c r="S411" s="3">
        <f t="shared" si="42"/>
        <v>0.18100069153688519</v>
      </c>
      <c r="T411" s="20">
        <f t="shared" si="43"/>
        <v>0.59739482166959013</v>
      </c>
      <c r="U411" s="20">
        <v>292.36961648981475</v>
      </c>
    </row>
    <row r="412" spans="15:21" x14ac:dyDescent="0.35">
      <c r="O412" s="18">
        <v>5</v>
      </c>
      <c r="P412" s="18">
        <f t="shared" si="41"/>
        <v>2050</v>
      </c>
      <c r="Q412" s="3">
        <f t="shared" si="44"/>
        <v>2.9785830746784874E-5</v>
      </c>
      <c r="R412" s="3">
        <f t="shared" si="40"/>
        <v>1.4892915373392436E-4</v>
      </c>
      <c r="S412" s="3">
        <f t="shared" si="42"/>
        <v>0.18115004024230258</v>
      </c>
      <c r="T412" s="20">
        <f t="shared" si="43"/>
        <v>0.5957166149356975</v>
      </c>
      <c r="U412" s="20">
        <v>292.36071030530024</v>
      </c>
    </row>
    <row r="413" spans="15:21" x14ac:dyDescent="0.35">
      <c r="O413" s="18">
        <v>5</v>
      </c>
      <c r="P413" s="18">
        <f t="shared" si="41"/>
        <v>2055</v>
      </c>
      <c r="Q413" s="3">
        <f t="shared" si="44"/>
        <v>2.9702264036607798E-5</v>
      </c>
      <c r="R413" s="3">
        <f t="shared" si="40"/>
        <v>1.4851132018303898E-4</v>
      </c>
      <c r="S413" s="3">
        <f t="shared" si="42"/>
        <v>0.18129896939603651</v>
      </c>
      <c r="T413" s="20">
        <f t="shared" si="43"/>
        <v>0.5940452807321559</v>
      </c>
      <c r="U413" s="20">
        <v>292.35184050478171</v>
      </c>
    </row>
    <row r="414" spans="15:21" x14ac:dyDescent="0.35">
      <c r="O414" s="18">
        <v>5</v>
      </c>
      <c r="P414" s="18">
        <f t="shared" si="41"/>
        <v>2060</v>
      </c>
      <c r="Q414" s="3">
        <f t="shared" si="44"/>
        <v>2.9619038872941303E-5</v>
      </c>
      <c r="R414" s="3">
        <f t="shared" si="40"/>
        <v>1.4809519436470651E-4</v>
      </c>
      <c r="S414" s="3">
        <f t="shared" si="42"/>
        <v>0.18144748071621955</v>
      </c>
      <c r="T414" s="20">
        <f t="shared" si="43"/>
        <v>0.592380777458826</v>
      </c>
      <c r="U414" s="20">
        <v>292.34300691796045</v>
      </c>
    </row>
    <row r="415" spans="15:21" x14ac:dyDescent="0.35">
      <c r="O415" s="18">
        <v>5</v>
      </c>
      <c r="P415" s="18">
        <f t="shared" si="41"/>
        <v>2065</v>
      </c>
      <c r="Q415" s="3">
        <f t="shared" si="44"/>
        <v>2.9536153193110066E-5</v>
      </c>
      <c r="R415" s="3">
        <f t="shared" si="40"/>
        <v>1.4768076596555034E-4</v>
      </c>
      <c r="S415" s="3">
        <f t="shared" si="42"/>
        <v>0.18159557591058426</v>
      </c>
      <c r="T415" s="20">
        <f t="shared" si="43"/>
        <v>0.59072306386220141</v>
      </c>
      <c r="U415" s="20">
        <v>292.33420931018503</v>
      </c>
    </row>
    <row r="416" spans="15:21" x14ac:dyDescent="0.35">
      <c r="O416" s="18">
        <v>5</v>
      </c>
      <c r="P416" s="18">
        <f t="shared" si="41"/>
        <v>2070</v>
      </c>
      <c r="Q416" s="3">
        <f t="shared" si="44"/>
        <v>2.9453604951585659E-5</v>
      </c>
      <c r="R416" s="3">
        <f t="shared" si="40"/>
        <v>1.4726802475792831E-4</v>
      </c>
      <c r="S416" s="3">
        <f t="shared" si="42"/>
        <v>0.18174325667654981</v>
      </c>
      <c r="T416" s="20">
        <f t="shared" si="43"/>
        <v>0.5890720990317132</v>
      </c>
      <c r="U416" s="20">
        <v>292.32544746494773</v>
      </c>
    </row>
    <row r="417" spans="15:21" x14ac:dyDescent="0.35">
      <c r="O417" s="18">
        <v>5</v>
      </c>
      <c r="P417" s="18">
        <f t="shared" si="41"/>
        <v>2075</v>
      </c>
      <c r="Q417" s="3">
        <f t="shared" si="44"/>
        <v>2.9371392119804075E-5</v>
      </c>
      <c r="R417" s="3">
        <f t="shared" si="40"/>
        <v>1.4685696059902036E-4</v>
      </c>
      <c r="S417" s="3">
        <f t="shared" si="42"/>
        <v>0.18189052470130773</v>
      </c>
      <c r="T417" s="20">
        <f t="shared" si="43"/>
        <v>0.58742784239608159</v>
      </c>
      <c r="U417" s="20">
        <v>292.31672116899938</v>
      </c>
    </row>
    <row r="418" spans="15:21" x14ac:dyDescent="0.35">
      <c r="O418" s="18">
        <v>5</v>
      </c>
      <c r="P418" s="18">
        <f t="shared" si="41"/>
        <v>2080</v>
      </c>
      <c r="Q418" s="3">
        <f t="shared" si="44"/>
        <v>2.9289512685985686E-5</v>
      </c>
      <c r="R418" s="3">
        <f t="shared" si="40"/>
        <v>1.4644756342992843E-4</v>
      </c>
      <c r="S418" s="3">
        <f t="shared" si="42"/>
        <v>0.18203738166190675</v>
      </c>
      <c r="T418" s="20">
        <f t="shared" si="43"/>
        <v>0.58579025371971372</v>
      </c>
      <c r="U418" s="20">
        <v>292.30803021041936</v>
      </c>
    </row>
    <row r="419" spans="15:21" x14ac:dyDescent="0.35">
      <c r="O419" s="18">
        <v>5</v>
      </c>
      <c r="P419" s="18">
        <f t="shared" si="41"/>
        <v>2085</v>
      </c>
      <c r="Q419" s="3">
        <f t="shared" si="44"/>
        <v>2.9207964654957517E-5</v>
      </c>
      <c r="R419" s="3">
        <f t="shared" si="40"/>
        <v>1.4603982327478758E-4</v>
      </c>
      <c r="S419" s="3">
        <f t="shared" si="42"/>
        <v>0.18218382922533669</v>
      </c>
      <c r="T419" s="20">
        <f t="shared" si="43"/>
        <v>0.58415929309915027</v>
      </c>
      <c r="U419" s="20">
        <v>292.29937438202353</v>
      </c>
    </row>
    <row r="420" spans="15:21" x14ac:dyDescent="0.35">
      <c r="O420" s="18">
        <v>5</v>
      </c>
      <c r="P420" s="18">
        <f t="shared" si="41"/>
        <v>2090</v>
      </c>
      <c r="Q420" s="3">
        <f t="shared" si="44"/>
        <v>2.9126746047977809E-5</v>
      </c>
      <c r="R420" s="3">
        <f t="shared" si="40"/>
        <v>1.4563373023988906E-4</v>
      </c>
      <c r="S420" s="3">
        <f t="shared" si="42"/>
        <v>0.18232986904861148</v>
      </c>
      <c r="T420" s="20">
        <f t="shared" si="43"/>
        <v>0.58253492095955617</v>
      </c>
      <c r="U420" s="20">
        <v>292.29075346080634</v>
      </c>
    </row>
    <row r="421" spans="15:21" x14ac:dyDescent="0.35">
      <c r="O421" s="18">
        <v>5</v>
      </c>
      <c r="P421" s="18">
        <f t="shared" si="41"/>
        <v>2095</v>
      </c>
      <c r="Q421" s="3">
        <f t="shared" si="44"/>
        <v>2.9045854902562818E-5</v>
      </c>
      <c r="R421" s="3">
        <f t="shared" si="40"/>
        <v>1.4522927451281409E-4</v>
      </c>
      <c r="S421" s="3">
        <f t="shared" si="42"/>
        <v>0.18247550277885138</v>
      </c>
      <c r="T421" s="20">
        <f t="shared" si="43"/>
        <v>0.58091709805125635</v>
      </c>
      <c r="U421" s="20">
        <v>292.28216722554151</v>
      </c>
    </row>
    <row r="422" spans="15:21" x14ac:dyDescent="0.35">
      <c r="O422" s="18">
        <v>5</v>
      </c>
      <c r="P422" s="18">
        <f t="shared" si="41"/>
        <v>2100</v>
      </c>
      <c r="Q422" s="3">
        <f t="shared" si="44"/>
        <v>2.8965289272315867E-5</v>
      </c>
      <c r="R422" s="3">
        <f t="shared" si="40"/>
        <v>1.4482644636157934E-4</v>
      </c>
      <c r="S422" s="3">
        <f t="shared" si="42"/>
        <v>0.18262073205336421</v>
      </c>
      <c r="T422" s="20">
        <f t="shared" si="43"/>
        <v>0.57930578544631739</v>
      </c>
      <c r="U422" s="20">
        <v>292.27361553778633</v>
      </c>
    </row>
    <row r="423" spans="15:21" x14ac:dyDescent="0.35">
      <c r="O423" s="18">
        <v>5</v>
      </c>
      <c r="P423" s="18">
        <f t="shared" si="41"/>
        <v>2105</v>
      </c>
      <c r="Q423" s="3">
        <f t="shared" si="44"/>
        <v>2.8885047226758578E-5</v>
      </c>
      <c r="R423" s="3">
        <f t="shared" si="40"/>
        <v>1.4442523613379289E-4</v>
      </c>
      <c r="S423" s="3">
        <f t="shared" si="42"/>
        <v>0.18276555849972578</v>
      </c>
      <c r="T423" s="20">
        <f t="shared" si="43"/>
        <v>0.57770094453517162</v>
      </c>
      <c r="U423" s="20">
        <v>292.26509808914892</v>
      </c>
    </row>
    <row r="424" spans="15:21" x14ac:dyDescent="0.35">
      <c r="O424" s="18">
        <v>5</v>
      </c>
      <c r="P424" s="18">
        <f t="shared" si="41"/>
        <v>2110</v>
      </c>
      <c r="Q424" s="3">
        <f t="shared" si="44"/>
        <v>2.8805126851164256E-5</v>
      </c>
      <c r="R424" s="3">
        <f t="shared" si="40"/>
        <v>1.4402563425582128E-4</v>
      </c>
      <c r="S424" s="3">
        <f t="shared" si="42"/>
        <v>0.18290998373585957</v>
      </c>
      <c r="T424" s="20">
        <f t="shared" si="43"/>
        <v>0.57610253702328518</v>
      </c>
      <c r="U424" s="20">
        <v>292.25661478443033</v>
      </c>
    </row>
    <row r="425" spans="15:21" x14ac:dyDescent="0.35">
      <c r="O425" s="18">
        <v>5</v>
      </c>
      <c r="P425" s="18">
        <f t="shared" si="41"/>
        <v>2115</v>
      </c>
      <c r="Q425" s="3">
        <f t="shared" si="44"/>
        <v>2.8725526246393366E-5</v>
      </c>
      <c r="R425" s="3">
        <f t="shared" si="40"/>
        <v>1.4362763123196683E-4</v>
      </c>
      <c r="S425" s="3">
        <f t="shared" si="42"/>
        <v>0.1830540093701154</v>
      </c>
      <c r="T425" s="20">
        <f t="shared" si="43"/>
        <v>0.57451052492786725</v>
      </c>
      <c r="U425" s="20">
        <v>292.24816533291676</v>
      </c>
    </row>
    <row r="426" spans="15:21" x14ac:dyDescent="0.35">
      <c r="O426" s="18">
        <v>5</v>
      </c>
      <c r="P426" s="18">
        <f t="shared" si="41"/>
        <v>2120</v>
      </c>
      <c r="Q426" s="3">
        <f t="shared" si="44"/>
        <v>2.8646243528731215E-5</v>
      </c>
      <c r="R426" s="3">
        <f t="shared" si="40"/>
        <v>1.4323121764365607E-4</v>
      </c>
      <c r="S426" s="3">
        <f t="shared" si="42"/>
        <v>0.18319763700134736</v>
      </c>
      <c r="T426" s="20">
        <f t="shared" si="43"/>
        <v>0.57292487057462427</v>
      </c>
      <c r="U426" s="20">
        <v>292.23974959823556</v>
      </c>
    </row>
    <row r="427" spans="15:21" x14ac:dyDescent="0.35">
      <c r="O427" s="18">
        <v>5</v>
      </c>
      <c r="P427" s="18">
        <f t="shared" si="41"/>
        <v>2125</v>
      </c>
      <c r="Q427" s="3">
        <f t="shared" si="44"/>
        <v>2.8567276829727554E-5</v>
      </c>
      <c r="R427" s="3">
        <f t="shared" si="40"/>
        <v>1.4283638414863776E-4</v>
      </c>
      <c r="S427" s="3">
        <f t="shared" si="42"/>
        <v>0.18334086821899101</v>
      </c>
      <c r="T427" s="20">
        <f t="shared" si="43"/>
        <v>0.57134553659455101</v>
      </c>
      <c r="U427" s="20">
        <v>292.23136736282197</v>
      </c>
    </row>
    <row r="428" spans="15:21" x14ac:dyDescent="0.35">
      <c r="O428" s="18">
        <v>5</v>
      </c>
      <c r="P428" s="18">
        <f t="shared" si="41"/>
        <v>2130</v>
      </c>
      <c r="Q428" s="3">
        <f t="shared" si="44"/>
        <v>2.8488624296038282E-5</v>
      </c>
      <c r="R428" s="3">
        <f t="shared" si="40"/>
        <v>1.424431214801914E-4</v>
      </c>
      <c r="S428" s="3">
        <f t="shared" si="42"/>
        <v>0.18348370460313965</v>
      </c>
      <c r="T428" s="20">
        <f t="shared" si="43"/>
        <v>0.56977248592076568</v>
      </c>
      <c r="U428" s="20">
        <v>292.22301842342466</v>
      </c>
    </row>
    <row r="429" spans="15:21" x14ac:dyDescent="0.35">
      <c r="O429" s="18">
        <v>5</v>
      </c>
      <c r="P429" s="18">
        <f t="shared" si="41"/>
        <v>2135</v>
      </c>
      <c r="Q429" s="3">
        <f t="shared" si="44"/>
        <v>2.8410284089269159E-5</v>
      </c>
      <c r="R429" s="3">
        <f t="shared" si="40"/>
        <v>1.4205142044634579E-4</v>
      </c>
      <c r="S429" s="3">
        <f t="shared" si="42"/>
        <v>0.18362614772461983</v>
      </c>
      <c r="T429" s="20">
        <f t="shared" si="43"/>
        <v>0.56820568178538311</v>
      </c>
      <c r="U429" s="20">
        <v>292.21470258546657</v>
      </c>
    </row>
    <row r="430" spans="15:21" x14ac:dyDescent="0.35">
      <c r="O430" s="18">
        <v>5</v>
      </c>
      <c r="P430" s="18">
        <f t="shared" si="41"/>
        <v>2140</v>
      </c>
      <c r="Q430" s="3">
        <f t="shared" si="44"/>
        <v>2.8332254385821424E-5</v>
      </c>
      <c r="R430" s="3">
        <f t="shared" si="40"/>
        <v>1.4166127192910712E-4</v>
      </c>
      <c r="S430" s="3">
        <f t="shared" si="42"/>
        <v>0.18376819914506617</v>
      </c>
      <c r="T430" s="20">
        <f t="shared" si="43"/>
        <v>0.56664508771642841</v>
      </c>
      <c r="U430" s="20">
        <v>292.20641966461682</v>
      </c>
    </row>
    <row r="431" spans="15:21" x14ac:dyDescent="0.35">
      <c r="O431" s="18">
        <v>5</v>
      </c>
      <c r="P431" s="18">
        <f t="shared" si="41"/>
        <v>2145</v>
      </c>
      <c r="Q431" s="3">
        <f t="shared" si="44"/>
        <v>2.8254533376739485E-5</v>
      </c>
      <c r="R431" s="3">
        <f t="shared" si="40"/>
        <v>1.4127266688369742E-4</v>
      </c>
      <c r="S431" s="3">
        <f t="shared" si="42"/>
        <v>0.18390986041699528</v>
      </c>
      <c r="T431" s="20">
        <f t="shared" si="43"/>
        <v>0.56509066753478965</v>
      </c>
      <c r="U431" s="20">
        <v>292.19816944133305</v>
      </c>
    </row>
    <row r="432" spans="15:21" x14ac:dyDescent="0.35">
      <c r="O432" s="18">
        <v>5</v>
      </c>
      <c r="P432" s="18">
        <f t="shared" si="41"/>
        <v>2150</v>
      </c>
      <c r="Q432" s="3">
        <f t="shared" si="44"/>
        <v>2.8177119267560351E-5</v>
      </c>
      <c r="R432" s="3">
        <f t="shared" si="40"/>
        <v>1.4088559633780175E-4</v>
      </c>
      <c r="S432" s="3">
        <f t="shared" si="42"/>
        <v>0.18405113308387896</v>
      </c>
      <c r="T432" s="20">
        <f t="shared" si="43"/>
        <v>0.56354238535120704</v>
      </c>
      <c r="U432" s="20">
        <v>292.18995175608569</v>
      </c>
    </row>
    <row r="433" spans="15:21" x14ac:dyDescent="0.35">
      <c r="O433" s="18">
        <v>5</v>
      </c>
      <c r="P433" s="18">
        <f t="shared" si="41"/>
        <v>2155</v>
      </c>
      <c r="Q433" s="3">
        <f t="shared" si="44"/>
        <v>2.8100010278165077E-5</v>
      </c>
      <c r="R433" s="3">
        <f t="shared" si="40"/>
        <v>1.4050005139082538E-4</v>
      </c>
      <c r="S433" s="3">
        <f t="shared" si="42"/>
        <v>0.18419201868021676</v>
      </c>
      <c r="T433" s="20">
        <f t="shared" si="43"/>
        <v>0.56200020556330155</v>
      </c>
      <c r="U433" s="20">
        <v>292.18176644127391</v>
      </c>
    </row>
    <row r="434" spans="15:21" x14ac:dyDescent="0.35">
      <c r="O434" s="18">
        <v>5</v>
      </c>
      <c r="P434" s="18">
        <f t="shared" si="41"/>
        <v>2160</v>
      </c>
      <c r="Q434" s="3">
        <f t="shared" si="44"/>
        <v>2.8023204642632002E-5</v>
      </c>
      <c r="R434" s="3">
        <f t="shared" si="40"/>
        <v>1.4011602321316002E-4</v>
      </c>
      <c r="S434" s="3">
        <f t="shared" si="42"/>
        <v>0.18433251873160758</v>
      </c>
      <c r="T434" s="20">
        <f t="shared" si="43"/>
        <v>0.56046409285263998</v>
      </c>
      <c r="U434" s="20">
        <v>292.17361324598545</v>
      </c>
    </row>
    <row r="435" spans="15:21" x14ac:dyDescent="0.35">
      <c r="O435" s="18">
        <v>5</v>
      </c>
      <c r="P435" s="18">
        <f t="shared" si="41"/>
        <v>2165</v>
      </c>
      <c r="Q435" s="3">
        <f t="shared" si="44"/>
        <v>2.7946700609091859E-5</v>
      </c>
      <c r="R435" s="3">
        <f t="shared" si="40"/>
        <v>1.397335030454593E-4</v>
      </c>
      <c r="S435" s="3">
        <f t="shared" si="42"/>
        <v>0.18447263475482073</v>
      </c>
      <c r="T435" s="20">
        <f t="shared" si="43"/>
        <v>0.55893401218183714</v>
      </c>
      <c r="U435" s="20">
        <v>292.16549204604576</v>
      </c>
    </row>
    <row r="436" spans="15:21" x14ac:dyDescent="0.35">
      <c r="O436" s="18">
        <v>5</v>
      </c>
      <c r="P436" s="18">
        <f t="shared" si="41"/>
        <v>2170</v>
      </c>
      <c r="Q436" s="3">
        <f t="shared" si="44"/>
        <v>2.7870496439584617E-5</v>
      </c>
      <c r="R436" s="3">
        <f t="shared" si="40"/>
        <v>1.3935248219792309E-4</v>
      </c>
      <c r="S436" s="3">
        <f t="shared" si="42"/>
        <v>0.1846123682578662</v>
      </c>
      <c r="T436" s="20">
        <f t="shared" si="43"/>
        <v>0.55740992879169227</v>
      </c>
      <c r="U436" s="20">
        <v>292.15740261730974</v>
      </c>
    </row>
    <row r="437" spans="15:21" x14ac:dyDescent="0.35">
      <c r="O437" s="18">
        <v>5</v>
      </c>
      <c r="P437" s="18">
        <f t="shared" si="41"/>
        <v>2175</v>
      </c>
      <c r="Q437" s="3">
        <f t="shared" si="44"/>
        <v>2.7794590409918199E-5</v>
      </c>
      <c r="R437" s="3">
        <f t="shared" si="40"/>
        <v>1.38972952049591E-4</v>
      </c>
      <c r="S437" s="3">
        <f t="shared" si="42"/>
        <v>0.18475172074006413</v>
      </c>
      <c r="T437" s="20">
        <f t="shared" si="43"/>
        <v>0.55589180819836392</v>
      </c>
      <c r="U437" s="20">
        <v>292.14934480022714</v>
      </c>
    </row>
    <row r="438" spans="15:21" x14ac:dyDescent="0.35">
      <c r="O438" s="18">
        <v>5</v>
      </c>
      <c r="P438" s="18">
        <f t="shared" si="41"/>
        <v>2180</v>
      </c>
      <c r="Q438" s="3">
        <f t="shared" si="44"/>
        <v>2.7718980809528861E-5</v>
      </c>
      <c r="R438" s="3">
        <f t="shared" si="40"/>
        <v>1.385949040476443E-4</v>
      </c>
      <c r="S438" s="3">
        <f t="shared" si="42"/>
        <v>0.18489069369211372</v>
      </c>
      <c r="T438" s="20">
        <f t="shared" si="43"/>
        <v>0.55437961619057718</v>
      </c>
      <c r="U438" s="20">
        <v>292.14131840541995</v>
      </c>
    </row>
    <row r="439" spans="15:21" x14ac:dyDescent="0.35">
      <c r="O439" s="18">
        <v>5</v>
      </c>
      <c r="P439" s="18">
        <f t="shared" si="41"/>
        <v>2185</v>
      </c>
      <c r="Q439" s="3">
        <f t="shared" si="44"/>
        <v>2.7643665941343336E-5</v>
      </c>
      <c r="R439" s="3">
        <f t="shared" si="40"/>
        <v>1.3821832970671669E-4</v>
      </c>
      <c r="S439" s="3">
        <f t="shared" si="42"/>
        <v>0.18502928859616136</v>
      </c>
      <c r="T439" s="20">
        <f t="shared" si="43"/>
        <v>0.55287331882686674</v>
      </c>
      <c r="U439" s="20">
        <v>292.13332326352429</v>
      </c>
    </row>
    <row r="440" spans="15:21" x14ac:dyDescent="0.35">
      <c r="O440" s="18">
        <v>5</v>
      </c>
      <c r="P440" s="18">
        <f t="shared" si="41"/>
        <v>2190</v>
      </c>
      <c r="Q440" s="3">
        <f t="shared" si="44"/>
        <v>2.7568644121642631E-5</v>
      </c>
      <c r="R440" s="3">
        <f t="shared" si="40"/>
        <v>1.3784322060821316E-4</v>
      </c>
      <c r="S440" s="3">
        <f t="shared" si="42"/>
        <v>0.18516750692586809</v>
      </c>
      <c r="T440" s="20">
        <f t="shared" si="43"/>
        <v>0.55137288243285265</v>
      </c>
      <c r="U440" s="20">
        <v>292.12535916947894</v>
      </c>
    </row>
    <row r="441" spans="15:21" x14ac:dyDescent="0.35">
      <c r="O441" s="18">
        <v>5</v>
      </c>
      <c r="P441" s="18">
        <f t="shared" si="41"/>
        <v>2195</v>
      </c>
      <c r="Q441" s="3">
        <f t="shared" si="44"/>
        <v>2.7493913679927621E-5</v>
      </c>
      <c r="R441" s="3">
        <f t="shared" si="40"/>
        <v>1.374695683996381E-4</v>
      </c>
      <c r="S441" s="3">
        <f t="shared" si="42"/>
        <v>0.18530535014647631</v>
      </c>
      <c r="T441" s="20">
        <f t="shared" si="43"/>
        <v>0.54987827359855246</v>
      </c>
      <c r="U441" s="20">
        <v>292.11742596907499</v>
      </c>
    </row>
    <row r="442" spans="15:21" x14ac:dyDescent="0.35">
      <c r="O442" s="18">
        <v>5</v>
      </c>
      <c r="P442" s="18">
        <f t="shared" si="41"/>
        <v>2200</v>
      </c>
      <c r="Q442" s="3">
        <f t="shared" si="44"/>
        <v>2.7419472958786135E-5</v>
      </c>
      <c r="R442" s="3">
        <f t="shared" si="40"/>
        <v>1.3709736479393066E-4</v>
      </c>
      <c r="S442" s="3">
        <f t="shared" si="42"/>
        <v>0.18544281971487594</v>
      </c>
      <c r="T442" s="20">
        <f t="shared" si="43"/>
        <v>0.54838945917572279</v>
      </c>
      <c r="U442" s="20">
        <v>292.10952348179666</v>
      </c>
    </row>
    <row r="443" spans="15:21" x14ac:dyDescent="0.35">
      <c r="O443" s="18">
        <v>5</v>
      </c>
      <c r="P443" s="18">
        <f t="shared" si="41"/>
        <v>2205</v>
      </c>
      <c r="Q443" s="3">
        <f t="shared" si="44"/>
        <v>2.7345320313761768E-5</v>
      </c>
      <c r="R443" s="3">
        <f t="shared" si="40"/>
        <v>1.3672660156880884E-4</v>
      </c>
      <c r="S443" s="3">
        <f t="shared" si="42"/>
        <v>0.18557991707966986</v>
      </c>
      <c r="T443" s="20">
        <f t="shared" si="43"/>
        <v>0.54690640627523546</v>
      </c>
      <c r="U443" s="20">
        <v>292.10165156077528</v>
      </c>
    </row>
    <row r="444" spans="15:21" x14ac:dyDescent="0.35">
      <c r="O444" s="18">
        <v>5</v>
      </c>
      <c r="P444" s="18">
        <f t="shared" si="41"/>
        <v>2210</v>
      </c>
      <c r="Q444" s="3">
        <f t="shared" si="44"/>
        <v>2.7271454113224238E-5</v>
      </c>
      <c r="R444" s="3">
        <f t="shared" si="40"/>
        <v>1.3635727056612119E-4</v>
      </c>
      <c r="S444" s="3">
        <f t="shared" si="42"/>
        <v>0.18571664368123866</v>
      </c>
      <c r="T444" s="20">
        <f t="shared" si="43"/>
        <v>0.54542908226448483</v>
      </c>
      <c r="U444" s="20">
        <v>292.09380997867623</v>
      </c>
    </row>
    <row r="445" spans="15:21" x14ac:dyDescent="0.35">
      <c r="O445" s="18">
        <v>5</v>
      </c>
      <c r="P445" s="18">
        <f t="shared" si="41"/>
        <v>2215</v>
      </c>
      <c r="Q445" s="3">
        <f t="shared" si="44"/>
        <v>2.7197872738241404E-5</v>
      </c>
      <c r="R445" s="3">
        <f t="shared" si="40"/>
        <v>1.3598936369120702E-4</v>
      </c>
      <c r="S445" s="3">
        <f t="shared" si="42"/>
        <v>0.18585300095180479</v>
      </c>
      <c r="T445" s="20">
        <f t="shared" si="43"/>
        <v>0.54395745476482815</v>
      </c>
      <c r="U445" s="20">
        <v>292.08599857098557</v>
      </c>
    </row>
    <row r="446" spans="15:21" x14ac:dyDescent="0.35">
      <c r="O446" s="18">
        <v>5</v>
      </c>
      <c r="P446" s="18">
        <f t="shared" si="41"/>
        <v>2220</v>
      </c>
      <c r="Q446" s="3">
        <f t="shared" si="44"/>
        <v>2.7124574582452757E-5</v>
      </c>
      <c r="R446" s="3">
        <f t="shared" si="40"/>
        <v>1.3562287291226378E-4</v>
      </c>
      <c r="S446" s="3">
        <f t="shared" si="42"/>
        <v>0.18598899031549601</v>
      </c>
      <c r="T446" s="20">
        <f t="shared" si="43"/>
        <v>0.54249149164905508</v>
      </c>
      <c r="U446" s="20">
        <v>292.07821720230021</v>
      </c>
    </row>
    <row r="447" spans="15:21" x14ac:dyDescent="0.35">
      <c r="O447" s="18">
        <v>5</v>
      </c>
      <c r="P447" s="18">
        <f t="shared" si="41"/>
        <v>2225</v>
      </c>
      <c r="Q447" s="3">
        <f t="shared" si="44"/>
        <v>2.7051558051944501E-5</v>
      </c>
      <c r="R447" s="3">
        <f t="shared" si="40"/>
        <v>1.352577902597225E-4</v>
      </c>
      <c r="S447" s="3">
        <f t="shared" si="42"/>
        <v>0.18612461318840828</v>
      </c>
      <c r="T447" s="20">
        <f t="shared" si="43"/>
        <v>0.54103116103889004</v>
      </c>
      <c r="U447" s="20">
        <v>292.07046569416246</v>
      </c>
    </row>
    <row r="448" spans="15:21" x14ac:dyDescent="0.35">
      <c r="O448" s="18">
        <v>5</v>
      </c>
      <c r="P448" s="18">
        <f t="shared" si="41"/>
        <v>2230</v>
      </c>
      <c r="Q448" s="3">
        <f t="shared" si="44"/>
        <v>2.6978821565126082E-5</v>
      </c>
      <c r="R448" s="3">
        <f t="shared" si="40"/>
        <v>1.3489410782563041E-4</v>
      </c>
      <c r="S448" s="3">
        <f t="shared" si="42"/>
        <v>0.186259870978668</v>
      </c>
      <c r="T448" s="20">
        <f t="shared" si="43"/>
        <v>0.53957643130252164</v>
      </c>
      <c r="U448" s="20">
        <v>292.06274389088804</v>
      </c>
    </row>
    <row r="449" spans="15:21" x14ac:dyDescent="0.35">
      <c r="O449" s="18">
        <v>5</v>
      </c>
      <c r="P449" s="18">
        <f t="shared" si="41"/>
        <v>2235</v>
      </c>
      <c r="Q449" s="3">
        <f t="shared" si="44"/>
        <v>2.6906363552608285E-5</v>
      </c>
      <c r="R449" s="3">
        <f t="shared" si="40"/>
        <v>1.3453181776304144E-4</v>
      </c>
      <c r="S449" s="3">
        <f t="shared" si="42"/>
        <v>0.18639476508649364</v>
      </c>
      <c r="T449" s="20">
        <f t="shared" si="43"/>
        <v>0.53812727105216562</v>
      </c>
      <c r="U449" s="20">
        <v>292.05505157654653</v>
      </c>
    </row>
    <row r="450" spans="15:21" x14ac:dyDescent="0.35">
      <c r="O450" s="18">
        <v>5</v>
      </c>
      <c r="P450" s="18">
        <f t="shared" si="41"/>
        <v>2240</v>
      </c>
      <c r="Q450" s="3">
        <f t="shared" si="44"/>
        <v>2.6834182457082772E-5</v>
      </c>
      <c r="R450" s="3">
        <f t="shared" ref="R450:R513" si="45">Q450*O450</f>
        <v>1.3417091228541385E-4</v>
      </c>
      <c r="S450" s="3">
        <f t="shared" si="42"/>
        <v>0.18652929690425668</v>
      </c>
      <c r="T450" s="20">
        <f t="shared" si="43"/>
        <v>0.53668364914165545</v>
      </c>
      <c r="U450" s="20">
        <v>292.04738863671867</v>
      </c>
    </row>
    <row r="451" spans="15:21" x14ac:dyDescent="0.35">
      <c r="O451" s="18">
        <v>5</v>
      </c>
      <c r="P451" s="18">
        <f t="shared" ref="P451:P514" si="46">O451+P450</f>
        <v>2245</v>
      </c>
      <c r="Q451" s="3">
        <f t="shared" si="44"/>
        <v>2.6762276733203023E-5</v>
      </c>
      <c r="R451" s="3">
        <f t="shared" si="45"/>
        <v>1.3381138366601512E-4</v>
      </c>
      <c r="S451" s="3">
        <f t="shared" ref="S451:S514" si="47">S450+R450</f>
        <v>0.18666346781654208</v>
      </c>
      <c r="T451" s="20">
        <f t="shared" ref="T451:T514" si="48">Q451*$B$9*$B$2*0.5/$B$11</f>
        <v>0.53524553466406044</v>
      </c>
      <c r="U451" s="20">
        <v>292.03975489069853</v>
      </c>
    </row>
    <row r="452" spans="15:21" x14ac:dyDescent="0.35">
      <c r="O452" s="18">
        <v>5</v>
      </c>
      <c r="P452" s="18">
        <f t="shared" si="46"/>
        <v>2250</v>
      </c>
      <c r="Q452" s="3">
        <f t="shared" ref="Q452:Q515" si="49">$T$2*(1-(S452/$B$12))/($B$9*((0.5*$B$2/$B$11)+(S452/$B$10)))</f>
        <v>2.6690644847466766E-5</v>
      </c>
      <c r="R452" s="3">
        <f t="shared" si="45"/>
        <v>1.3345322423733382E-4</v>
      </c>
      <c r="S452" s="3">
        <f t="shared" si="47"/>
        <v>0.18679727920020811</v>
      </c>
      <c r="T452" s="20">
        <f t="shared" si="48"/>
        <v>0.53381289694933531</v>
      </c>
      <c r="U452" s="20">
        <v>292.03215017726427</v>
      </c>
    </row>
    <row r="453" spans="15:21" x14ac:dyDescent="0.35">
      <c r="O453" s="18">
        <v>5</v>
      </c>
      <c r="P453" s="18">
        <f t="shared" si="46"/>
        <v>2255</v>
      </c>
      <c r="Q453" s="3">
        <f t="shared" si="49"/>
        <v>2.6619285278099833E-5</v>
      </c>
      <c r="R453" s="3">
        <f t="shared" si="45"/>
        <v>1.3309642639049916E-4</v>
      </c>
      <c r="S453" s="3">
        <f t="shared" si="47"/>
        <v>0.18693073242444544</v>
      </c>
      <c r="T453" s="20">
        <f t="shared" si="48"/>
        <v>0.5323857055619966</v>
      </c>
      <c r="U453" s="20">
        <v>292.02457433109134</v>
      </c>
    </row>
    <row r="454" spans="15:21" x14ac:dyDescent="0.35">
      <c r="O454" s="18">
        <v>5</v>
      </c>
      <c r="P454" s="18">
        <f t="shared" si="46"/>
        <v>2260</v>
      </c>
      <c r="Q454" s="3">
        <f t="shared" si="49"/>
        <v>2.6548196514941287E-5</v>
      </c>
      <c r="R454" s="3">
        <f t="shared" si="45"/>
        <v>1.3274098257470645E-4</v>
      </c>
      <c r="S454" s="3">
        <f t="shared" si="47"/>
        <v>0.18706382885083594</v>
      </c>
      <c r="T454" s="20">
        <f t="shared" si="48"/>
        <v>0.53096393029882571</v>
      </c>
      <c r="U454" s="20">
        <v>292.01702721294572</v>
      </c>
    </row>
    <row r="455" spans="15:21" x14ac:dyDescent="0.35">
      <c r="O455" s="18">
        <v>5</v>
      </c>
      <c r="P455" s="18">
        <f t="shared" si="46"/>
        <v>2265</v>
      </c>
      <c r="Q455" s="3">
        <f t="shared" si="49"/>
        <v>2.6477377059330066E-5</v>
      </c>
      <c r="R455" s="3">
        <f t="shared" si="45"/>
        <v>1.3238688529665032E-4</v>
      </c>
      <c r="S455" s="3">
        <f t="shared" si="47"/>
        <v>0.18719656983341065</v>
      </c>
      <c r="T455" s="20">
        <f t="shared" si="48"/>
        <v>0.5295475411866013</v>
      </c>
      <c r="U455" s="20">
        <v>292.00950862998059</v>
      </c>
    </row>
    <row r="456" spans="15:21" x14ac:dyDescent="0.35">
      <c r="O456" s="18">
        <v>5</v>
      </c>
      <c r="P456" s="18">
        <f t="shared" si="46"/>
        <v>2270</v>
      </c>
      <c r="Q456" s="3">
        <f t="shared" si="49"/>
        <v>2.6406825423992873E-5</v>
      </c>
      <c r="R456" s="3">
        <f t="shared" si="45"/>
        <v>1.3203412711996435E-4</v>
      </c>
      <c r="S456" s="3">
        <f t="shared" si="47"/>
        <v>0.18732895671870731</v>
      </c>
      <c r="T456" s="20">
        <f t="shared" si="48"/>
        <v>0.52813650847985749</v>
      </c>
      <c r="U456" s="20">
        <v>292.00201842667485</v>
      </c>
    </row>
    <row r="457" spans="15:21" x14ac:dyDescent="0.35">
      <c r="O457" s="18">
        <v>5</v>
      </c>
      <c r="P457" s="18">
        <f t="shared" si="46"/>
        <v>2275</v>
      </c>
      <c r="Q457" s="3">
        <f t="shared" si="49"/>
        <v>2.6336540132933432E-5</v>
      </c>
      <c r="R457" s="3">
        <f t="shared" si="45"/>
        <v>1.3168270066466717E-4</v>
      </c>
      <c r="S457" s="3">
        <f t="shared" si="47"/>
        <v>0.18746099084582726</v>
      </c>
      <c r="T457" s="20">
        <f t="shared" si="48"/>
        <v>0.52673080265866867</v>
      </c>
      <c r="U457" s="20">
        <v>291.99455649205697</v>
      </c>
    </row>
    <row r="458" spans="15:21" x14ac:dyDescent="0.35">
      <c r="O458" s="18">
        <v>5</v>
      </c>
      <c r="P458" s="18">
        <f t="shared" si="46"/>
        <v>2280</v>
      </c>
      <c r="Q458" s="3">
        <f t="shared" si="49"/>
        <v>2.6266519721323068E-5</v>
      </c>
      <c r="R458" s="3">
        <f t="shared" si="45"/>
        <v>1.3133259860661535E-4</v>
      </c>
      <c r="S458" s="3">
        <f t="shared" si="47"/>
        <v>0.18759267354649192</v>
      </c>
      <c r="T458" s="20">
        <f t="shared" si="48"/>
        <v>0.52533039442646134</v>
      </c>
      <c r="U458" s="20">
        <v>291.98712261577856</v>
      </c>
    </row>
    <row r="459" spans="15:21" x14ac:dyDescent="0.35">
      <c r="O459" s="18">
        <v>5</v>
      </c>
      <c r="P459" s="18">
        <f t="shared" si="46"/>
        <v>2285</v>
      </c>
      <c r="Q459" s="3">
        <f t="shared" si="49"/>
        <v>2.6196762735392527E-5</v>
      </c>
      <c r="R459" s="3">
        <f t="shared" si="45"/>
        <v>1.3098381367696263E-4</v>
      </c>
      <c r="S459" s="3">
        <f t="shared" si="47"/>
        <v>0.18772400614509854</v>
      </c>
      <c r="T459" s="20">
        <f t="shared" si="48"/>
        <v>0.52393525470785063</v>
      </c>
      <c r="U459" s="20">
        <v>291.97971667431511</v>
      </c>
    </row>
    <row r="460" spans="15:21" x14ac:dyDescent="0.35">
      <c r="O460" s="18">
        <v>5</v>
      </c>
      <c r="P460" s="18">
        <f t="shared" si="46"/>
        <v>2290</v>
      </c>
      <c r="Q460" s="3">
        <f t="shared" si="49"/>
        <v>2.612726773232518E-5</v>
      </c>
      <c r="R460" s="3">
        <f t="shared" si="45"/>
        <v>1.306363386616259E-4</v>
      </c>
      <c r="S460" s="3">
        <f t="shared" si="47"/>
        <v>0.1878549899587755</v>
      </c>
      <c r="T460" s="20">
        <f t="shared" si="48"/>
        <v>0.52254535464650365</v>
      </c>
      <c r="U460" s="20">
        <v>291.97233851670177</v>
      </c>
    </row>
    <row r="461" spans="15:21" x14ac:dyDescent="0.35">
      <c r="O461" s="18">
        <v>5</v>
      </c>
      <c r="P461" s="18">
        <f t="shared" si="46"/>
        <v>2295</v>
      </c>
      <c r="Q461" s="3">
        <f t="shared" si="49"/>
        <v>2.6058033280151374E-5</v>
      </c>
      <c r="R461" s="3">
        <f t="shared" si="45"/>
        <v>1.3029016640075686E-4</v>
      </c>
      <c r="S461" s="3">
        <f t="shared" si="47"/>
        <v>0.18798562629743712</v>
      </c>
      <c r="T461" s="20">
        <f t="shared" si="48"/>
        <v>0.52116066560302754</v>
      </c>
      <c r="U461" s="20">
        <v>291.9649879735926</v>
      </c>
    </row>
    <row r="462" spans="15:21" x14ac:dyDescent="0.35">
      <c r="O462" s="18">
        <v>5</v>
      </c>
      <c r="P462" s="18">
        <f t="shared" si="46"/>
        <v>2300</v>
      </c>
      <c r="Q462" s="3">
        <f t="shared" si="49"/>
        <v>2.5989057957644029E-5</v>
      </c>
      <c r="R462" s="3">
        <f t="shared" si="45"/>
        <v>1.2994528978822016E-4</v>
      </c>
      <c r="S462" s="3">
        <f t="shared" si="47"/>
        <v>0.18811591646383788</v>
      </c>
      <c r="T462" s="20">
        <f t="shared" si="48"/>
        <v>0.51978115915288059</v>
      </c>
      <c r="U462" s="20">
        <v>291.95766491113523</v>
      </c>
    </row>
    <row r="463" spans="15:21" x14ac:dyDescent="0.35">
      <c r="O463" s="18">
        <v>5</v>
      </c>
      <c r="P463" s="18">
        <f t="shared" si="46"/>
        <v>2305</v>
      </c>
      <c r="Q463" s="3">
        <f t="shared" si="49"/>
        <v>2.5920340354215602E-5</v>
      </c>
      <c r="R463" s="3">
        <f t="shared" si="45"/>
        <v>1.2960170177107801E-4</v>
      </c>
      <c r="S463" s="3">
        <f t="shared" si="47"/>
        <v>0.18824586175362609</v>
      </c>
      <c r="T463" s="20">
        <f t="shared" si="48"/>
        <v>0.51840680708431208</v>
      </c>
      <c r="U463" s="20">
        <v>291.95036917342225</v>
      </c>
    </row>
    <row r="464" spans="15:21" x14ac:dyDescent="0.35">
      <c r="O464" s="18">
        <v>5</v>
      </c>
      <c r="P464" s="18">
        <f t="shared" si="46"/>
        <v>2310</v>
      </c>
      <c r="Q464" s="3">
        <f t="shared" si="49"/>
        <v>2.5851879069816038E-5</v>
      </c>
      <c r="R464" s="3">
        <f t="shared" si="45"/>
        <v>1.2925939534908019E-4</v>
      </c>
      <c r="S464" s="3">
        <f t="shared" si="47"/>
        <v>0.18837546345539716</v>
      </c>
      <c r="T464" s="20">
        <f t="shared" si="48"/>
        <v>0.51703758139632072</v>
      </c>
      <c r="U464" s="20">
        <v>291.9431006302168</v>
      </c>
    </row>
    <row r="465" spans="15:21" x14ac:dyDescent="0.35">
      <c r="O465" s="18">
        <v>5</v>
      </c>
      <c r="P465" s="18">
        <f t="shared" si="46"/>
        <v>2315</v>
      </c>
      <c r="Q465" s="3">
        <f t="shared" si="49"/>
        <v>2.5783672714832075E-5</v>
      </c>
      <c r="R465" s="3">
        <f t="shared" si="45"/>
        <v>1.2891836357416036E-4</v>
      </c>
      <c r="S465" s="3">
        <f t="shared" si="47"/>
        <v>0.18850472285074624</v>
      </c>
      <c r="T465" s="20">
        <f t="shared" si="48"/>
        <v>0.51567345429664158</v>
      </c>
      <c r="U465" s="20">
        <v>291.93585908231057</v>
      </c>
    </row>
    <row r="466" spans="15:21" x14ac:dyDescent="0.35">
      <c r="O466" s="18">
        <v>5</v>
      </c>
      <c r="P466" s="18">
        <f t="shared" si="46"/>
        <v>2320</v>
      </c>
      <c r="Q466" s="3">
        <f t="shared" si="49"/>
        <v>2.5715719909987686E-5</v>
      </c>
      <c r="R466" s="3">
        <f t="shared" si="45"/>
        <v>1.2857859954993844E-4</v>
      </c>
      <c r="S466" s="3">
        <f t="shared" si="47"/>
        <v>0.18863364121432039</v>
      </c>
      <c r="T466" s="20">
        <f t="shared" si="48"/>
        <v>0.51431439819975366</v>
      </c>
      <c r="U466" s="20">
        <v>291.92864443382285</v>
      </c>
    </row>
    <row r="467" spans="15:21" x14ac:dyDescent="0.35">
      <c r="O467" s="18">
        <v>5</v>
      </c>
      <c r="P467" s="18">
        <f t="shared" si="46"/>
        <v>2325</v>
      </c>
      <c r="Q467" s="3">
        <f t="shared" si="49"/>
        <v>2.5648019286245627E-5</v>
      </c>
      <c r="R467" s="3">
        <f t="shared" si="45"/>
        <v>1.2824009643122813E-4</v>
      </c>
      <c r="S467" s="3">
        <f t="shared" si="47"/>
        <v>0.18876221981387031</v>
      </c>
      <c r="T467" s="20">
        <f t="shared" si="48"/>
        <v>0.51296038572491254</v>
      </c>
      <c r="U467" s="20">
        <v>291.92145654982238</v>
      </c>
    </row>
    <row r="468" spans="15:21" x14ac:dyDescent="0.35">
      <c r="O468" s="18">
        <v>5</v>
      </c>
      <c r="P468" s="18">
        <f t="shared" si="46"/>
        <v>2330</v>
      </c>
      <c r="Q468" s="3">
        <f t="shared" si="49"/>
        <v>2.5580569484710185E-5</v>
      </c>
      <c r="R468" s="3">
        <f t="shared" si="45"/>
        <v>1.2790284742355092E-4</v>
      </c>
      <c r="S468" s="3">
        <f t="shared" si="47"/>
        <v>0.18889045991030154</v>
      </c>
      <c r="T468" s="20">
        <f t="shared" si="48"/>
        <v>0.51161138969420372</v>
      </c>
      <c r="U468" s="20">
        <v>291.91429522772222</v>
      </c>
    </row>
    <row r="469" spans="15:21" x14ac:dyDescent="0.35">
      <c r="O469" s="18">
        <v>5</v>
      </c>
      <c r="P469" s="18">
        <f t="shared" si="46"/>
        <v>2335</v>
      </c>
      <c r="Q469" s="3">
        <f t="shared" si="49"/>
        <v>2.5513369156531015E-5</v>
      </c>
      <c r="R469" s="3">
        <f t="shared" si="45"/>
        <v>1.2756684578265509E-4</v>
      </c>
      <c r="S469" s="3">
        <f t="shared" si="47"/>
        <v>0.1890183627577251</v>
      </c>
      <c r="T469" s="20">
        <f t="shared" si="48"/>
        <v>0.51026738313062026</v>
      </c>
      <c r="U469" s="20">
        <v>291.90716035644465</v>
      </c>
    </row>
    <row r="470" spans="15:21" x14ac:dyDescent="0.35">
      <c r="O470" s="18">
        <v>5</v>
      </c>
      <c r="P470" s="18">
        <f t="shared" si="46"/>
        <v>2340</v>
      </c>
      <c r="Q470" s="3">
        <f t="shared" si="49"/>
        <v>2.5446416962808132E-5</v>
      </c>
      <c r="R470" s="3">
        <f t="shared" si="45"/>
        <v>1.2723208481404066E-4</v>
      </c>
      <c r="S470" s="3">
        <f t="shared" si="47"/>
        <v>0.18914592960350776</v>
      </c>
      <c r="T470" s="20">
        <f t="shared" si="48"/>
        <v>0.50892833925616265</v>
      </c>
      <c r="U470" s="20">
        <v>291.90005179965573</v>
      </c>
    </row>
    <row r="471" spans="15:21" x14ac:dyDescent="0.35">
      <c r="O471" s="18">
        <v>5</v>
      </c>
      <c r="P471" s="18">
        <f t="shared" si="46"/>
        <v>2345</v>
      </c>
      <c r="Q471" s="3">
        <f t="shared" si="49"/>
        <v>2.5379711574497922E-5</v>
      </c>
      <c r="R471" s="3">
        <f t="shared" si="45"/>
        <v>1.2689855787248959E-4</v>
      </c>
      <c r="S471" s="3">
        <f t="shared" si="47"/>
        <v>0.18927316168832181</v>
      </c>
      <c r="T471" s="20">
        <f t="shared" si="48"/>
        <v>0.50759423148995841</v>
      </c>
      <c r="U471" s="20">
        <v>291.89296941532416</v>
      </c>
    </row>
    <row r="472" spans="15:21" x14ac:dyDescent="0.35">
      <c r="O472" s="18">
        <v>5</v>
      </c>
      <c r="P472" s="18">
        <f t="shared" si="46"/>
        <v>2350</v>
      </c>
      <c r="Q472" s="3">
        <f t="shared" si="49"/>
        <v>2.531325167232033E-5</v>
      </c>
      <c r="R472" s="3">
        <f t="shared" si="45"/>
        <v>1.2656625836160164E-4</v>
      </c>
      <c r="S472" s="3">
        <f t="shared" si="47"/>
        <v>0.1894000602461943</v>
      </c>
      <c r="T472" s="20">
        <f t="shared" si="48"/>
        <v>0.50626503344640661</v>
      </c>
      <c r="U472" s="20">
        <v>291.88591307482045</v>
      </c>
    </row>
    <row r="473" spans="15:21" x14ac:dyDescent="0.35">
      <c r="O473" s="18">
        <v>5</v>
      </c>
      <c r="P473" s="18">
        <f t="shared" si="46"/>
        <v>2355</v>
      </c>
      <c r="Q473" s="3">
        <f t="shared" si="49"/>
        <v>2.524703594666701E-5</v>
      </c>
      <c r="R473" s="3">
        <f t="shared" si="45"/>
        <v>1.2623517973333505E-4</v>
      </c>
      <c r="S473" s="3">
        <f t="shared" si="47"/>
        <v>0.1895266265045559</v>
      </c>
      <c r="T473" s="20">
        <f t="shared" si="48"/>
        <v>0.50494071893334025</v>
      </c>
      <c r="U473" s="20">
        <v>291.87888260561994</v>
      </c>
    </row>
    <row r="474" spans="15:21" x14ac:dyDescent="0.35">
      <c r="O474" s="18">
        <v>5</v>
      </c>
      <c r="P474" s="18">
        <f t="shared" si="46"/>
        <v>2360</v>
      </c>
      <c r="Q474" s="3">
        <f t="shared" si="49"/>
        <v>2.5181063097510617E-5</v>
      </c>
      <c r="R474" s="3">
        <f t="shared" si="45"/>
        <v>1.2590531548755307E-4</v>
      </c>
      <c r="S474" s="3">
        <f t="shared" si="47"/>
        <v>0.18965286168428924</v>
      </c>
      <c r="T474" s="20">
        <f t="shared" si="48"/>
        <v>0.5036212619502124</v>
      </c>
      <c r="U474" s="20">
        <v>291.87187791573882</v>
      </c>
    </row>
    <row r="475" spans="15:21" x14ac:dyDescent="0.35">
      <c r="O475" s="18">
        <v>5</v>
      </c>
      <c r="P475" s="18">
        <f t="shared" si="46"/>
        <v>2365</v>
      </c>
      <c r="Q475" s="3">
        <f t="shared" si="49"/>
        <v>2.5115331834315084E-5</v>
      </c>
      <c r="R475" s="3">
        <f t="shared" si="45"/>
        <v>1.2557665917157542E-4</v>
      </c>
      <c r="S475" s="3">
        <f t="shared" si="47"/>
        <v>0.1897787669997768</v>
      </c>
      <c r="T475" s="20">
        <f t="shared" si="48"/>
        <v>0.50230663668630171</v>
      </c>
      <c r="U475" s="20">
        <v>291.86489880953775</v>
      </c>
    </row>
    <row r="476" spans="15:21" x14ac:dyDescent="0.35">
      <c r="O476" s="18">
        <v>5</v>
      </c>
      <c r="P476" s="18">
        <f t="shared" si="46"/>
        <v>2370</v>
      </c>
      <c r="Q476" s="3">
        <f t="shared" si="49"/>
        <v>2.5049840875946987E-5</v>
      </c>
      <c r="R476" s="3">
        <f t="shared" si="45"/>
        <v>1.2524920437973494E-4</v>
      </c>
      <c r="S476" s="3">
        <f t="shared" si="47"/>
        <v>0.18990434365894837</v>
      </c>
      <c r="T476" s="20">
        <f t="shared" si="48"/>
        <v>0.50099681751893976</v>
      </c>
      <c r="U476" s="20">
        <v>291.85794519598466</v>
      </c>
    </row>
    <row r="477" spans="15:21" x14ac:dyDescent="0.35">
      <c r="O477" s="18">
        <v>5</v>
      </c>
      <c r="P477" s="18">
        <f t="shared" si="46"/>
        <v>2375</v>
      </c>
      <c r="Q477" s="3">
        <f t="shared" si="49"/>
        <v>2.4984588950587755E-5</v>
      </c>
      <c r="R477" s="3">
        <f t="shared" si="45"/>
        <v>1.2492294475293877E-4</v>
      </c>
      <c r="S477" s="3">
        <f t="shared" si="47"/>
        <v>0.1900295928633281</v>
      </c>
      <c r="T477" s="20">
        <f t="shared" si="48"/>
        <v>0.4996917790117551</v>
      </c>
      <c r="U477" s="20">
        <v>291.8510169262882</v>
      </c>
    </row>
    <row r="478" spans="15:21" x14ac:dyDescent="0.35">
      <c r="O478" s="18">
        <v>5</v>
      </c>
      <c r="P478" s="18">
        <f t="shared" si="46"/>
        <v>2380</v>
      </c>
      <c r="Q478" s="3">
        <f t="shared" si="49"/>
        <v>2.4919574795647111E-5</v>
      </c>
      <c r="R478" s="3">
        <f t="shared" si="45"/>
        <v>1.2459787397823554E-4</v>
      </c>
      <c r="S478" s="3">
        <f t="shared" si="47"/>
        <v>0.19015451580808104</v>
      </c>
      <c r="T478" s="20">
        <f t="shared" si="48"/>
        <v>0.49839149591294224</v>
      </c>
      <c r="U478" s="20">
        <v>291.84411387706069</v>
      </c>
    </row>
    <row r="479" spans="15:21" x14ac:dyDescent="0.35">
      <c r="O479" s="18">
        <v>5</v>
      </c>
      <c r="P479" s="18">
        <f t="shared" si="46"/>
        <v>2385</v>
      </c>
      <c r="Q479" s="3">
        <f t="shared" si="49"/>
        <v>2.4854797157677304E-5</v>
      </c>
      <c r="R479" s="3">
        <f t="shared" si="45"/>
        <v>1.2427398578838652E-4</v>
      </c>
      <c r="S479" s="3">
        <f t="shared" si="47"/>
        <v>0.19027911368205927</v>
      </c>
      <c r="T479" s="20">
        <f t="shared" si="48"/>
        <v>0.4970959431535461</v>
      </c>
      <c r="U479" s="20">
        <v>291.83723590494321</v>
      </c>
    </row>
    <row r="480" spans="15:21" x14ac:dyDescent="0.35">
      <c r="O480" s="18">
        <v>5</v>
      </c>
      <c r="P480" s="18">
        <f t="shared" si="46"/>
        <v>2390</v>
      </c>
      <c r="Q480" s="3">
        <f t="shared" si="49"/>
        <v>2.4790254792288418E-5</v>
      </c>
      <c r="R480" s="3">
        <f t="shared" si="45"/>
        <v>1.2395127396144209E-4</v>
      </c>
      <c r="S480" s="3">
        <f t="shared" si="47"/>
        <v>0.19040338766784765</v>
      </c>
      <c r="T480" s="20">
        <f t="shared" si="48"/>
        <v>0.49580509584576843</v>
      </c>
      <c r="U480" s="20">
        <v>291.83038288562722</v>
      </c>
    </row>
    <row r="481" spans="15:21" x14ac:dyDescent="0.35">
      <c r="O481" s="18">
        <v>5</v>
      </c>
      <c r="P481" s="18">
        <f t="shared" si="46"/>
        <v>2395</v>
      </c>
      <c r="Q481" s="3">
        <f t="shared" si="49"/>
        <v>2.4725946464064573E-5</v>
      </c>
      <c r="R481" s="3">
        <f t="shared" si="45"/>
        <v>1.2362973232032286E-4</v>
      </c>
      <c r="S481" s="3">
        <f t="shared" si="47"/>
        <v>0.19052733894180909</v>
      </c>
      <c r="T481" s="20">
        <f t="shared" si="48"/>
        <v>0.49451892928129143</v>
      </c>
      <c r="U481" s="20">
        <v>291.82355469093756</v>
      </c>
    </row>
    <row r="482" spans="15:21" x14ac:dyDescent="0.35">
      <c r="O482" s="18">
        <v>5</v>
      </c>
      <c r="P482" s="18">
        <f t="shared" si="46"/>
        <v>2400</v>
      </c>
      <c r="Q482" s="3">
        <f t="shared" si="49"/>
        <v>2.4661870946481134E-5</v>
      </c>
      <c r="R482" s="3">
        <f t="shared" si="45"/>
        <v>1.2330935473240566E-4</v>
      </c>
      <c r="S482" s="3">
        <f t="shared" si="47"/>
        <v>0.19065096867412942</v>
      </c>
      <c r="T482" s="20">
        <f t="shared" si="48"/>
        <v>0.49323741892962264</v>
      </c>
      <c r="U482" s="20">
        <v>291.81675116052378</v>
      </c>
    </row>
    <row r="483" spans="15:21" x14ac:dyDescent="0.35">
      <c r="O483" s="18">
        <v>5</v>
      </c>
      <c r="P483" s="18">
        <f t="shared" si="46"/>
        <v>2405</v>
      </c>
      <c r="Q483" s="3">
        <f t="shared" si="49"/>
        <v>2.4598027021822775E-5</v>
      </c>
      <c r="R483" s="3">
        <f t="shared" si="45"/>
        <v>1.2299013510911388E-4</v>
      </c>
      <c r="S483" s="3">
        <f t="shared" si="47"/>
        <v>0.19077427802886182</v>
      </c>
      <c r="T483" s="20">
        <f t="shared" si="48"/>
        <v>0.49196054043645554</v>
      </c>
      <c r="U483" s="20">
        <v>291.8099722139105</v>
      </c>
    </row>
    <row r="484" spans="15:21" x14ac:dyDescent="0.35">
      <c r="O484" s="18">
        <v>5</v>
      </c>
      <c r="P484" s="18">
        <f t="shared" si="46"/>
        <v>2410</v>
      </c>
      <c r="Q484" s="3">
        <f t="shared" si="49"/>
        <v>2.4534413481102543E-5</v>
      </c>
      <c r="R484" s="3">
        <f t="shared" si="45"/>
        <v>1.2267206740551272E-4</v>
      </c>
      <c r="S484" s="3">
        <f t="shared" si="47"/>
        <v>0.19089726816397093</v>
      </c>
      <c r="T484" s="20">
        <f t="shared" si="48"/>
        <v>0.49068826962205092</v>
      </c>
      <c r="U484" s="20">
        <v>291.80321767857674</v>
      </c>
    </row>
    <row r="485" spans="15:21" x14ac:dyDescent="0.35">
      <c r="O485" s="18">
        <v>5</v>
      </c>
      <c r="P485" s="18">
        <f t="shared" si="46"/>
        <v>2415</v>
      </c>
      <c r="Q485" s="3">
        <f t="shared" si="49"/>
        <v>2.447102912398174E-5</v>
      </c>
      <c r="R485" s="3">
        <f t="shared" si="45"/>
        <v>1.223551456199087E-4</v>
      </c>
      <c r="S485" s="3">
        <f t="shared" si="47"/>
        <v>0.19101994023137644</v>
      </c>
      <c r="T485" s="20">
        <f t="shared" si="48"/>
        <v>0.48942058247963482</v>
      </c>
      <c r="U485" s="20">
        <v>291.79648746061667</v>
      </c>
    </row>
    <row r="486" spans="15:21" x14ac:dyDescent="0.35">
      <c r="O486" s="18">
        <v>5</v>
      </c>
      <c r="P486" s="18">
        <f t="shared" si="46"/>
        <v>2420</v>
      </c>
      <c r="Q486" s="3">
        <f t="shared" si="49"/>
        <v>2.440787275869081E-5</v>
      </c>
      <c r="R486" s="3">
        <f t="shared" si="45"/>
        <v>1.2203936379345405E-4</v>
      </c>
      <c r="S486" s="3">
        <f t="shared" si="47"/>
        <v>0.19114229537699634</v>
      </c>
      <c r="T486" s="20">
        <f t="shared" si="48"/>
        <v>0.48815745517381626</v>
      </c>
      <c r="U486" s="20">
        <v>291.78978143088699</v>
      </c>
    </row>
    <row r="487" spans="15:21" x14ac:dyDescent="0.35">
      <c r="O487" s="18">
        <v>5</v>
      </c>
      <c r="P487" s="18">
        <f t="shared" si="46"/>
        <v>2425</v>
      </c>
      <c r="Q487" s="3">
        <f t="shared" si="49"/>
        <v>2.4344943201950977E-5</v>
      </c>
      <c r="R487" s="3">
        <f t="shared" si="45"/>
        <v>1.2172471600975488E-4</v>
      </c>
      <c r="S487" s="3">
        <f t="shared" si="47"/>
        <v>0.1912643347407898</v>
      </c>
      <c r="T487" s="20">
        <f t="shared" si="48"/>
        <v>0.48689886403901955</v>
      </c>
      <c r="U487" s="20">
        <v>291.7830994235527</v>
      </c>
    </row>
    <row r="488" spans="15:21" x14ac:dyDescent="0.35">
      <c r="O488" s="18">
        <v>5</v>
      </c>
      <c r="P488" s="18">
        <f t="shared" si="46"/>
        <v>2430</v>
      </c>
      <c r="Q488" s="3">
        <f t="shared" si="49"/>
        <v>2.4282239278896903E-5</v>
      </c>
      <c r="R488" s="3">
        <f t="shared" si="45"/>
        <v>1.2141119639448452E-4</v>
      </c>
      <c r="S488" s="3">
        <f t="shared" si="47"/>
        <v>0.19138605945679954</v>
      </c>
      <c r="T488" s="20">
        <f t="shared" si="48"/>
        <v>0.48564478557793805</v>
      </c>
      <c r="U488" s="20">
        <v>291.7764413485998</v>
      </c>
    </row>
    <row r="489" spans="15:21" x14ac:dyDescent="0.35">
      <c r="O489" s="18">
        <v>5</v>
      </c>
      <c r="P489" s="18">
        <f t="shared" si="46"/>
        <v>2435</v>
      </c>
      <c r="Q489" s="3">
        <f t="shared" si="49"/>
        <v>2.4219759823000057E-5</v>
      </c>
      <c r="R489" s="3">
        <f t="shared" si="45"/>
        <v>1.2109879911500028E-4</v>
      </c>
      <c r="S489" s="3">
        <f t="shared" si="47"/>
        <v>0.19150747065319401</v>
      </c>
      <c r="T489" s="20">
        <f t="shared" si="48"/>
        <v>0.48439519646000112</v>
      </c>
      <c r="U489" s="20">
        <v>291.76980707888009</v>
      </c>
    </row>
    <row r="490" spans="15:21" x14ac:dyDescent="0.35">
      <c r="O490" s="18">
        <v>5</v>
      </c>
      <c r="P490" s="18">
        <f t="shared" si="46"/>
        <v>2440</v>
      </c>
      <c r="Q490" s="3">
        <f t="shared" si="49"/>
        <v>2.4157503675993036E-5</v>
      </c>
      <c r="R490" s="3">
        <f t="shared" si="45"/>
        <v>1.2078751837996518E-4</v>
      </c>
      <c r="S490" s="3">
        <f t="shared" si="47"/>
        <v>0.19162856945230902</v>
      </c>
      <c r="T490" s="20">
        <f t="shared" si="48"/>
        <v>0.48315007351986072</v>
      </c>
      <c r="U490" s="20">
        <v>291.76319650326866</v>
      </c>
    </row>
    <row r="491" spans="15:21" x14ac:dyDescent="0.35">
      <c r="O491" s="18">
        <v>5</v>
      </c>
      <c r="P491" s="18">
        <f t="shared" si="46"/>
        <v>2445</v>
      </c>
      <c r="Q491" s="3">
        <f t="shared" si="49"/>
        <v>2.4095469687794702E-5</v>
      </c>
      <c r="R491" s="3">
        <f t="shared" si="45"/>
        <v>1.2047734843897351E-4</v>
      </c>
      <c r="S491" s="3">
        <f t="shared" si="47"/>
        <v>0.19174935697068898</v>
      </c>
      <c r="T491" s="20">
        <f t="shared" si="48"/>
        <v>0.48190939375589403</v>
      </c>
      <c r="U491" s="20">
        <v>291.75660949108277</v>
      </c>
    </row>
    <row r="492" spans="15:21" x14ac:dyDescent="0.35">
      <c r="O492" s="18">
        <v>5</v>
      </c>
      <c r="P492" s="18">
        <f t="shared" si="46"/>
        <v>2450</v>
      </c>
      <c r="Q492" s="3">
        <f t="shared" si="49"/>
        <v>2.4033656716436109E-5</v>
      </c>
      <c r="R492" s="3">
        <f t="shared" si="45"/>
        <v>1.2016828358218054E-4</v>
      </c>
      <c r="S492" s="3">
        <f t="shared" si="47"/>
        <v>0.19186983431912796</v>
      </c>
      <c r="T492" s="20">
        <f t="shared" si="48"/>
        <v>0.48067313432872216</v>
      </c>
      <c r="U492" s="20">
        <v>291.7500458926275</v>
      </c>
    </row>
    <row r="493" spans="15:21" x14ac:dyDescent="0.35">
      <c r="O493" s="18">
        <v>5</v>
      </c>
      <c r="P493" s="18">
        <f t="shared" si="46"/>
        <v>2455</v>
      </c>
      <c r="Q493" s="3">
        <f t="shared" si="49"/>
        <v>2.3972063627987299E-5</v>
      </c>
      <c r="R493" s="3">
        <f t="shared" si="45"/>
        <v>1.1986031813993649E-4</v>
      </c>
      <c r="S493" s="3">
        <f t="shared" si="47"/>
        <v>0.19199000260271015</v>
      </c>
      <c r="T493" s="20">
        <f t="shared" si="48"/>
        <v>0.479441272559746</v>
      </c>
      <c r="U493" s="20">
        <v>291.74350562915134</v>
      </c>
    </row>
    <row r="494" spans="15:21" x14ac:dyDescent="0.35">
      <c r="O494" s="18">
        <v>5</v>
      </c>
      <c r="P494" s="18">
        <f t="shared" si="46"/>
        <v>2460</v>
      </c>
      <c r="Q494" s="3">
        <f t="shared" si="49"/>
        <v>2.391068929648486E-5</v>
      </c>
      <c r="R494" s="3">
        <f t="shared" si="45"/>
        <v>1.195534464824243E-4</v>
      </c>
      <c r="S494" s="3">
        <f t="shared" si="47"/>
        <v>0.19210986292085008</v>
      </c>
      <c r="T494" s="20">
        <f t="shared" si="48"/>
        <v>0.47821378592969715</v>
      </c>
      <c r="U494" s="20">
        <v>291.7369885893296</v>
      </c>
    </row>
    <row r="495" spans="15:21" x14ac:dyDescent="0.35">
      <c r="O495" s="18">
        <v>5</v>
      </c>
      <c r="P495" s="18">
        <f t="shared" si="46"/>
        <v>2465</v>
      </c>
      <c r="Q495" s="3">
        <f t="shared" si="49"/>
        <v>2.3849532603860285E-5</v>
      </c>
      <c r="R495" s="3">
        <f t="shared" si="45"/>
        <v>1.1924766301930143E-4</v>
      </c>
      <c r="S495" s="3">
        <f t="shared" si="47"/>
        <v>0.19222941636733251</v>
      </c>
      <c r="T495" s="20">
        <f t="shared" si="48"/>
        <v>0.47699065207720576</v>
      </c>
      <c r="U495" s="20">
        <v>291.7304945806747</v>
      </c>
    </row>
    <row r="496" spans="15:21" x14ac:dyDescent="0.35">
      <c r="O496" s="18">
        <v>5</v>
      </c>
      <c r="P496" s="18">
        <f t="shared" si="46"/>
        <v>2470</v>
      </c>
      <c r="Q496" s="3">
        <f t="shared" si="49"/>
        <v>2.3788592439869149E-5</v>
      </c>
      <c r="R496" s="3">
        <f t="shared" si="45"/>
        <v>1.1894296219934574E-4</v>
      </c>
      <c r="S496" s="3">
        <f t="shared" si="47"/>
        <v>0.19234866403035181</v>
      </c>
      <c r="T496" s="20">
        <f t="shared" si="48"/>
        <v>0.47577184879738305</v>
      </c>
      <c r="U496" s="20">
        <v>291.72402356485065</v>
      </c>
    </row>
    <row r="497" spans="15:21" x14ac:dyDescent="0.35">
      <c r="O497" s="18">
        <v>5</v>
      </c>
      <c r="P497" s="18">
        <f t="shared" si="46"/>
        <v>2475</v>
      </c>
      <c r="Q497" s="3">
        <f t="shared" si="49"/>
        <v>2.3727867702021008E-5</v>
      </c>
      <c r="R497" s="3">
        <f t="shared" si="45"/>
        <v>1.1863933851010504E-4</v>
      </c>
      <c r="S497" s="3">
        <f t="shared" si="47"/>
        <v>0.19246760699255117</v>
      </c>
      <c r="T497" s="20">
        <f t="shared" si="48"/>
        <v>0.47455735404042015</v>
      </c>
      <c r="U497" s="20">
        <v>291.71757540857857</v>
      </c>
    </row>
    <row r="498" spans="15:21" x14ac:dyDescent="0.35">
      <c r="O498" s="18">
        <v>5</v>
      </c>
      <c r="P498" s="18">
        <f t="shared" si="46"/>
        <v>2480</v>
      </c>
      <c r="Q498" s="3">
        <f t="shared" si="49"/>
        <v>2.366735729551016E-5</v>
      </c>
      <c r="R498" s="3">
        <f t="shared" si="45"/>
        <v>1.183367864775508E-4</v>
      </c>
      <c r="S498" s="3">
        <f t="shared" si="47"/>
        <v>0.19258624633106128</v>
      </c>
      <c r="T498" s="20">
        <f t="shared" si="48"/>
        <v>0.47334714591020322</v>
      </c>
      <c r="U498" s="20">
        <v>291.71114994287484</v>
      </c>
    </row>
    <row r="499" spans="15:21" x14ac:dyDescent="0.35">
      <c r="O499" s="18">
        <v>5</v>
      </c>
      <c r="P499" s="18">
        <f t="shared" si="46"/>
        <v>2485</v>
      </c>
      <c r="Q499" s="3">
        <f t="shared" si="49"/>
        <v>2.3607060133147E-5</v>
      </c>
      <c r="R499" s="3">
        <f t="shared" si="45"/>
        <v>1.18035300665735E-4</v>
      </c>
      <c r="S499" s="3">
        <f t="shared" si="47"/>
        <v>0.19270458311753882</v>
      </c>
      <c r="T499" s="20">
        <f t="shared" si="48"/>
        <v>0.47214120266293996</v>
      </c>
      <c r="U499" s="20">
        <v>291.70474713007292</v>
      </c>
    </row>
    <row r="500" spans="15:21" x14ac:dyDescent="0.35">
      <c r="O500" s="18">
        <v>5</v>
      </c>
      <c r="P500" s="18">
        <f t="shared" si="46"/>
        <v>2490</v>
      </c>
      <c r="Q500" s="3">
        <f t="shared" si="49"/>
        <v>2.3546975135290269E-5</v>
      </c>
      <c r="R500" s="3">
        <f t="shared" si="45"/>
        <v>1.1773487567645135E-4</v>
      </c>
      <c r="S500" s="3">
        <f t="shared" si="47"/>
        <v>0.19282261841820456</v>
      </c>
      <c r="T500" s="20">
        <f t="shared" si="48"/>
        <v>0.47093950270580537</v>
      </c>
      <c r="U500" s="20">
        <v>291.69836680244219</v>
      </c>
    </row>
    <row r="501" spans="15:21" x14ac:dyDescent="0.35">
      <c r="O501" s="18">
        <v>5</v>
      </c>
      <c r="P501" s="18">
        <f t="shared" si="46"/>
        <v>2495</v>
      </c>
      <c r="Q501" s="3">
        <f t="shared" si="49"/>
        <v>2.3487101229779974E-5</v>
      </c>
      <c r="R501" s="3">
        <f t="shared" si="45"/>
        <v>1.1743550614889987E-4</v>
      </c>
      <c r="S501" s="3">
        <f t="shared" si="47"/>
        <v>0.19294035329388101</v>
      </c>
      <c r="T501" s="20">
        <f t="shared" si="48"/>
        <v>0.46974202459559944</v>
      </c>
      <c r="U501" s="20">
        <v>291.69200884990073</v>
      </c>
    </row>
    <row r="502" spans="15:21" x14ac:dyDescent="0.35">
      <c r="O502" s="18">
        <v>5</v>
      </c>
      <c r="P502" s="18">
        <f t="shared" si="46"/>
        <v>2500</v>
      </c>
      <c r="Q502" s="3">
        <f t="shared" si="49"/>
        <v>2.3427437351871042E-5</v>
      </c>
      <c r="R502" s="3">
        <f t="shared" si="45"/>
        <v>1.1713718675935521E-4</v>
      </c>
      <c r="S502" s="3">
        <f t="shared" si="47"/>
        <v>0.19305778880002991</v>
      </c>
      <c r="T502" s="20">
        <f t="shared" si="48"/>
        <v>0.46854874703742089</v>
      </c>
      <c r="U502" s="20">
        <v>291.68567319221222</v>
      </c>
    </row>
    <row r="503" spans="15:21" x14ac:dyDescent="0.35">
      <c r="O503" s="18">
        <v>5</v>
      </c>
      <c r="P503" s="18">
        <f t="shared" si="46"/>
        <v>2505</v>
      </c>
      <c r="Q503" s="3">
        <f t="shared" si="49"/>
        <v>2.336798244416769E-5</v>
      </c>
      <c r="R503" s="3">
        <f t="shared" si="45"/>
        <v>1.1683991222083846E-4</v>
      </c>
      <c r="S503" s="3">
        <f t="shared" si="47"/>
        <v>0.19317492598678926</v>
      </c>
      <c r="T503" s="20">
        <f t="shared" si="48"/>
        <v>0.46735964888335385</v>
      </c>
      <c r="U503" s="20">
        <v>291.67935969125841</v>
      </c>
    </row>
    <row r="504" spans="15:21" x14ac:dyDescent="0.35">
      <c r="O504" s="18">
        <v>5</v>
      </c>
      <c r="P504" s="18">
        <f t="shared" si="46"/>
        <v>2510</v>
      </c>
      <c r="Q504" s="3">
        <f t="shared" si="49"/>
        <v>2.3308735456558499E-5</v>
      </c>
      <c r="R504" s="3">
        <f t="shared" si="45"/>
        <v>1.165436772827925E-4</v>
      </c>
      <c r="S504" s="3">
        <f t="shared" si="47"/>
        <v>0.19329176589901009</v>
      </c>
      <c r="T504" s="20">
        <f t="shared" si="48"/>
        <v>0.46617470913117004</v>
      </c>
      <c r="U504" s="20">
        <v>291.67306823762868</v>
      </c>
    </row>
    <row r="505" spans="15:21" x14ac:dyDescent="0.35">
      <c r="O505" s="18">
        <v>5</v>
      </c>
      <c r="P505" s="18">
        <f t="shared" si="46"/>
        <v>2515</v>
      </c>
      <c r="Q505" s="3">
        <f t="shared" si="49"/>
        <v>2.3249695346152193E-5</v>
      </c>
      <c r="R505" s="3">
        <f t="shared" si="45"/>
        <v>1.1624847673076096E-4</v>
      </c>
      <c r="S505" s="3">
        <f t="shared" si="47"/>
        <v>0.19340830957629288</v>
      </c>
      <c r="T505" s="20">
        <f t="shared" si="48"/>
        <v>0.46499390692304388</v>
      </c>
      <c r="U505" s="20">
        <v>291.66679873940211</v>
      </c>
    </row>
    <row r="506" spans="15:21" x14ac:dyDescent="0.35">
      <c r="O506" s="18">
        <v>5</v>
      </c>
      <c r="P506" s="18">
        <f t="shared" si="46"/>
        <v>2520</v>
      </c>
      <c r="Q506" s="3">
        <f t="shared" si="49"/>
        <v>2.3190861077214109E-5</v>
      </c>
      <c r="R506" s="3">
        <f t="shared" si="45"/>
        <v>1.1595430538607055E-4</v>
      </c>
      <c r="S506" s="3">
        <f t="shared" si="47"/>
        <v>0.19352455805302363</v>
      </c>
      <c r="T506" s="20">
        <f t="shared" si="48"/>
        <v>0.46381722154428223</v>
      </c>
      <c r="U506" s="20">
        <v>291.6605510534597</v>
      </c>
    </row>
    <row r="507" spans="15:21" x14ac:dyDescent="0.35">
      <c r="O507" s="18">
        <v>5</v>
      </c>
      <c r="P507" s="18">
        <f t="shared" si="46"/>
        <v>2525</v>
      </c>
      <c r="Q507" s="3">
        <f t="shared" si="49"/>
        <v>2.3132231621103344E-5</v>
      </c>
      <c r="R507" s="3">
        <f t="shared" si="45"/>
        <v>1.1566115810551672E-4</v>
      </c>
      <c r="S507" s="3">
        <f t="shared" si="47"/>
        <v>0.19364051235840971</v>
      </c>
      <c r="T507" s="20">
        <f t="shared" si="48"/>
        <v>0.46264463242206694</v>
      </c>
      <c r="U507" s="20">
        <v>291.6543251050482</v>
      </c>
    </row>
    <row r="508" spans="15:21" x14ac:dyDescent="0.35">
      <c r="O508" s="18">
        <v>5</v>
      </c>
      <c r="P508" s="18">
        <f t="shared" si="46"/>
        <v>2530</v>
      </c>
      <c r="Q508" s="3">
        <f t="shared" si="49"/>
        <v>2.3073805956210598E-5</v>
      </c>
      <c r="R508" s="3">
        <f t="shared" si="45"/>
        <v>1.1536902978105299E-4</v>
      </c>
      <c r="S508" s="3">
        <f t="shared" si="47"/>
        <v>0.19375617351651522</v>
      </c>
      <c r="T508" s="20">
        <f t="shared" si="48"/>
        <v>0.46147611912421194</v>
      </c>
      <c r="U508" s="20">
        <v>291.64812078198423</v>
      </c>
    </row>
    <row r="509" spans="15:21" x14ac:dyDescent="0.35">
      <c r="O509" s="18">
        <v>5</v>
      </c>
      <c r="P509" s="18">
        <f t="shared" si="46"/>
        <v>2535</v>
      </c>
      <c r="Q509" s="3">
        <f t="shared" si="49"/>
        <v>2.301558306789663E-5</v>
      </c>
      <c r="R509" s="3">
        <f t="shared" si="45"/>
        <v>1.1507791533948315E-4</v>
      </c>
      <c r="S509" s="3">
        <f t="shared" si="47"/>
        <v>0.19387154254629627</v>
      </c>
      <c r="T509" s="20">
        <f t="shared" si="48"/>
        <v>0.46031166135793267</v>
      </c>
      <c r="U509" s="20">
        <v>291.64193792926375</v>
      </c>
    </row>
    <row r="510" spans="15:21" x14ac:dyDescent="0.35">
      <c r="O510" s="18">
        <v>5</v>
      </c>
      <c r="P510" s="18">
        <f t="shared" si="46"/>
        <v>2540</v>
      </c>
      <c r="Q510" s="3">
        <f t="shared" si="49"/>
        <v>2.2957561948431389E-5</v>
      </c>
      <c r="R510" s="3">
        <f t="shared" si="45"/>
        <v>1.1478780974215694E-4</v>
      </c>
      <c r="S510" s="3">
        <f t="shared" si="47"/>
        <v>0.19398662046163576</v>
      </c>
      <c r="T510" s="20">
        <f t="shared" si="48"/>
        <v>0.45915123896862775</v>
      </c>
      <c r="U510" s="20">
        <v>291.63577649683157</v>
      </c>
    </row>
    <row r="511" spans="15:21" x14ac:dyDescent="0.35">
      <c r="O511" s="18">
        <v>5</v>
      </c>
      <c r="P511" s="18">
        <f t="shared" si="46"/>
        <v>2545</v>
      </c>
      <c r="Q511" s="3">
        <f t="shared" si="49"/>
        <v>2.2899741596933841E-5</v>
      </c>
      <c r="R511" s="3">
        <f t="shared" si="45"/>
        <v>1.1449870798466921E-4</v>
      </c>
      <c r="S511" s="3">
        <f t="shared" si="47"/>
        <v>0.19410140827137792</v>
      </c>
      <c r="T511" s="20">
        <f t="shared" si="48"/>
        <v>0.45799483193867679</v>
      </c>
      <c r="U511" s="20">
        <v>291.6296363585555</v>
      </c>
    </row>
    <row r="512" spans="15:21" x14ac:dyDescent="0.35">
      <c r="O512" s="18">
        <v>5</v>
      </c>
      <c r="P512" s="18">
        <f t="shared" si="46"/>
        <v>2550</v>
      </c>
      <c r="Q512" s="3">
        <f t="shared" si="49"/>
        <v>2.2842121019312385E-5</v>
      </c>
      <c r="R512" s="3">
        <f t="shared" si="45"/>
        <v>1.1421060509656192E-4</v>
      </c>
      <c r="S512" s="3">
        <f t="shared" si="47"/>
        <v>0.19421590697936258</v>
      </c>
      <c r="T512" s="20">
        <f t="shared" si="48"/>
        <v>0.45684242038624767</v>
      </c>
      <c r="U512" s="20">
        <v>291.6235174211912</v>
      </c>
    </row>
    <row r="513" spans="15:21" x14ac:dyDescent="0.35">
      <c r="O513" s="18">
        <v>5</v>
      </c>
      <c r="P513" s="18">
        <f t="shared" si="46"/>
        <v>2555</v>
      </c>
      <c r="Q513" s="3">
        <f t="shared" si="49"/>
        <v>2.2784699228205892E-5</v>
      </c>
      <c r="R513" s="3">
        <f t="shared" si="45"/>
        <v>1.1392349614102945E-4</v>
      </c>
      <c r="S513" s="3">
        <f t="shared" si="47"/>
        <v>0.19433011758445914</v>
      </c>
      <c r="T513" s="20">
        <f t="shared" si="48"/>
        <v>0.4556939845641178</v>
      </c>
      <c r="U513" s="20">
        <v>291.61741955199363</v>
      </c>
    </row>
    <row r="514" spans="15:21" x14ac:dyDescent="0.35">
      <c r="O514" s="18">
        <v>5</v>
      </c>
      <c r="P514" s="18">
        <f t="shared" si="46"/>
        <v>2560</v>
      </c>
      <c r="Q514" s="3">
        <f t="shared" si="49"/>
        <v>2.2727475242925394E-5</v>
      </c>
      <c r="R514" s="3">
        <f t="shared" ref="R514:R577" si="50">Q514*O514</f>
        <v>1.1363737621462697E-4</v>
      </c>
      <c r="S514" s="3">
        <f t="shared" si="47"/>
        <v>0.19444404108060018</v>
      </c>
      <c r="T514" s="20">
        <f t="shared" si="48"/>
        <v>0.45454950485850792</v>
      </c>
      <c r="U514" s="20">
        <v>291.61134267408403</v>
      </c>
    </row>
    <row r="515" spans="15:21" x14ac:dyDescent="0.35">
      <c r="O515" s="18">
        <v>5</v>
      </c>
      <c r="P515" s="18">
        <f t="shared" ref="P515:P578" si="51">O515+P514</f>
        <v>2565</v>
      </c>
      <c r="Q515" s="3">
        <f t="shared" si="49"/>
        <v>2.26704480893964E-5</v>
      </c>
      <c r="R515" s="3">
        <f t="shared" si="50"/>
        <v>1.1335224044698199E-4</v>
      </c>
      <c r="S515" s="3">
        <f t="shared" ref="S515:S578" si="52">S514+R514</f>
        <v>0.19455767845681479</v>
      </c>
      <c r="T515" s="20">
        <f t="shared" ref="T515:T578" si="53">Q515*$B$9*$B$2*0.5/$B$11</f>
        <v>0.45340896178792794</v>
      </c>
      <c r="U515" s="20">
        <v>291.60528665478859</v>
      </c>
    </row>
    <row r="516" spans="15:21" x14ac:dyDescent="0.35">
      <c r="O516" s="18">
        <v>5</v>
      </c>
      <c r="P516" s="18">
        <f t="shared" si="51"/>
        <v>2570</v>
      </c>
      <c r="Q516" s="3">
        <f t="shared" ref="Q516:Q579" si="54">$T$2*(1-(S516/$B$12))/($B$9*((0.5*$B$2/$B$11)+(S516/$B$10)))</f>
        <v>2.2613616800101786E-5</v>
      </c>
      <c r="R516" s="3">
        <f t="shared" si="50"/>
        <v>1.1306808400050894E-4</v>
      </c>
      <c r="S516" s="3">
        <f t="shared" si="52"/>
        <v>0.19467103069726177</v>
      </c>
      <c r="T516" s="20">
        <f t="shared" si="53"/>
        <v>0.4522723360020357</v>
      </c>
      <c r="U516" s="20">
        <v>291.59925142233129</v>
      </c>
    </row>
    <row r="517" spans="15:21" x14ac:dyDescent="0.35">
      <c r="O517" s="18">
        <v>5</v>
      </c>
      <c r="P517" s="18">
        <f t="shared" si="51"/>
        <v>2575</v>
      </c>
      <c r="Q517" s="3">
        <f t="shared" si="54"/>
        <v>2.2556980414025293E-5</v>
      </c>
      <c r="R517" s="3">
        <f t="shared" si="50"/>
        <v>1.1278490207012646E-4</v>
      </c>
      <c r="S517" s="3">
        <f t="shared" si="52"/>
        <v>0.19478409878126229</v>
      </c>
      <c r="T517" s="20">
        <f t="shared" si="53"/>
        <v>0.45113960828050581</v>
      </c>
      <c r="U517" s="20">
        <v>291.59323686376536</v>
      </c>
    </row>
    <row r="518" spans="15:21" x14ac:dyDescent="0.35">
      <c r="O518" s="18">
        <v>5</v>
      </c>
      <c r="P518" s="18">
        <f t="shared" si="51"/>
        <v>2580</v>
      </c>
      <c r="Q518" s="3">
        <f t="shared" si="54"/>
        <v>2.2500537976595673E-5</v>
      </c>
      <c r="R518" s="3">
        <f t="shared" si="50"/>
        <v>1.1250268988297837E-4</v>
      </c>
      <c r="S518" s="3">
        <f t="shared" si="52"/>
        <v>0.19489688368333241</v>
      </c>
      <c r="T518" s="20">
        <f t="shared" si="53"/>
        <v>0.4500107595319135</v>
      </c>
      <c r="U518" s="20">
        <v>291.58724288667463</v>
      </c>
    </row>
    <row r="519" spans="15:21" x14ac:dyDescent="0.35">
      <c r="O519" s="18">
        <v>5</v>
      </c>
      <c r="P519" s="18">
        <f t="shared" si="51"/>
        <v>2585</v>
      </c>
      <c r="Q519" s="3">
        <f t="shared" si="54"/>
        <v>2.2444288539631309E-5</v>
      </c>
      <c r="R519" s="3">
        <f t="shared" si="50"/>
        <v>1.1222144269815654E-4</v>
      </c>
      <c r="S519" s="3">
        <f t="shared" si="52"/>
        <v>0.19500938637321538</v>
      </c>
      <c r="T519" s="20">
        <f t="shared" si="53"/>
        <v>0.44888577079262626</v>
      </c>
      <c r="U519" s="20">
        <v>291.58126936672835</v>
      </c>
    </row>
    <row r="520" spans="15:21" x14ac:dyDescent="0.35">
      <c r="O520" s="18">
        <v>5</v>
      </c>
      <c r="P520" s="18">
        <f t="shared" si="51"/>
        <v>2590</v>
      </c>
      <c r="Q520" s="3">
        <f t="shared" si="54"/>
        <v>2.238823116128551E-5</v>
      </c>
      <c r="R520" s="3">
        <f t="shared" si="50"/>
        <v>1.1194115580642755E-4</v>
      </c>
      <c r="S520" s="3">
        <f t="shared" si="52"/>
        <v>0.19512160781591353</v>
      </c>
      <c r="T520" s="20">
        <f t="shared" si="53"/>
        <v>0.44776462322571026</v>
      </c>
      <c r="U520" s="20">
        <v>291.57531622844971</v>
      </c>
    </row>
    <row r="521" spans="15:21" x14ac:dyDescent="0.35">
      <c r="O521" s="18">
        <v>5</v>
      </c>
      <c r="P521" s="18">
        <f t="shared" si="51"/>
        <v>2595</v>
      </c>
      <c r="Q521" s="3">
        <f t="shared" si="54"/>
        <v>2.2332364905992364E-5</v>
      </c>
      <c r="R521" s="3">
        <f t="shared" si="50"/>
        <v>1.1166182452996182E-4</v>
      </c>
      <c r="S521" s="3">
        <f t="shared" si="52"/>
        <v>0.19523354897171996</v>
      </c>
      <c r="T521" s="20">
        <f t="shared" si="53"/>
        <v>0.44664729811984727</v>
      </c>
      <c r="U521" s="20">
        <v>291.5693833545584</v>
      </c>
    </row>
    <row r="522" spans="15:21" x14ac:dyDescent="0.35">
      <c r="O522" s="18">
        <v>5</v>
      </c>
      <c r="P522" s="18">
        <f t="shared" si="51"/>
        <v>2600</v>
      </c>
      <c r="Q522" s="3">
        <f t="shared" si="54"/>
        <v>2.2276688844413112E-5</v>
      </c>
      <c r="R522" s="3">
        <f t="shared" si="50"/>
        <v>1.1138344422206556E-4</v>
      </c>
      <c r="S522" s="3">
        <f t="shared" si="52"/>
        <v>0.19534521079624992</v>
      </c>
      <c r="T522" s="20">
        <f t="shared" si="53"/>
        <v>0.44553377688826229</v>
      </c>
      <c r="U522" s="20">
        <v>291.56347066170667</v>
      </c>
    </row>
    <row r="523" spans="15:21" x14ac:dyDescent="0.35">
      <c r="O523" s="18">
        <v>5</v>
      </c>
      <c r="P523" s="18">
        <f t="shared" si="51"/>
        <v>2605</v>
      </c>
      <c r="Q523" s="3">
        <f t="shared" si="54"/>
        <v>2.2221202053383095E-5</v>
      </c>
      <c r="R523" s="3">
        <f t="shared" si="50"/>
        <v>1.1110601026691547E-4</v>
      </c>
      <c r="S523" s="3">
        <f t="shared" si="52"/>
        <v>0.19545659424047199</v>
      </c>
      <c r="T523" s="20">
        <f t="shared" si="53"/>
        <v>0.44442404106766187</v>
      </c>
      <c r="U523" s="20">
        <v>291.55757802787963</v>
      </c>
    </row>
    <row r="524" spans="15:21" x14ac:dyDescent="0.35">
      <c r="O524" s="18">
        <v>5</v>
      </c>
      <c r="P524" s="18">
        <f t="shared" si="51"/>
        <v>2610</v>
      </c>
      <c r="Q524" s="3">
        <f t="shared" si="54"/>
        <v>2.2165903615859291E-5</v>
      </c>
      <c r="R524" s="3">
        <f t="shared" si="50"/>
        <v>1.1082951807929646E-4</v>
      </c>
      <c r="S524" s="3">
        <f t="shared" si="52"/>
        <v>0.19556770025073891</v>
      </c>
      <c r="T524" s="20">
        <f t="shared" si="53"/>
        <v>0.44331807231718579</v>
      </c>
      <c r="U524" s="20">
        <v>291.55170540995107</v>
      </c>
    </row>
    <row r="525" spans="15:21" x14ac:dyDescent="0.35">
      <c r="O525" s="18">
        <v>5</v>
      </c>
      <c r="P525" s="18">
        <f t="shared" si="51"/>
        <v>2615</v>
      </c>
      <c r="Q525" s="3">
        <f t="shared" si="54"/>
        <v>2.211079262086836E-5</v>
      </c>
      <c r="R525" s="3">
        <f t="shared" si="50"/>
        <v>1.105539631043418E-4</v>
      </c>
      <c r="S525" s="3">
        <f t="shared" si="52"/>
        <v>0.19567852976881822</v>
      </c>
      <c r="T525" s="20">
        <f t="shared" si="53"/>
        <v>0.44221585241736716</v>
      </c>
      <c r="U525" s="20">
        <v>291.54585262750874</v>
      </c>
    </row>
    <row r="526" spans="15:21" x14ac:dyDescent="0.35">
      <c r="O526" s="18">
        <v>5</v>
      </c>
      <c r="P526" s="18">
        <f t="shared" si="51"/>
        <v>2620</v>
      </c>
      <c r="Q526" s="3">
        <f t="shared" si="54"/>
        <v>2.2055868163455223E-5</v>
      </c>
      <c r="R526" s="3">
        <f t="shared" si="50"/>
        <v>1.1027934081727611E-4</v>
      </c>
      <c r="S526" s="3">
        <f t="shared" si="52"/>
        <v>0.19578908373192255</v>
      </c>
      <c r="T526" s="20">
        <f t="shared" si="53"/>
        <v>0.44111736326910445</v>
      </c>
      <c r="U526" s="20">
        <v>291.54001966790526</v>
      </c>
    </row>
    <row r="527" spans="15:21" x14ac:dyDescent="0.35">
      <c r="O527" s="18">
        <v>5</v>
      </c>
      <c r="P527" s="18">
        <f t="shared" si="51"/>
        <v>2625</v>
      </c>
      <c r="Q527" s="3">
        <f t="shared" si="54"/>
        <v>2.2001129344632151E-5</v>
      </c>
      <c r="R527" s="3">
        <f t="shared" si="50"/>
        <v>1.1000564672316076E-4</v>
      </c>
      <c r="S527" s="3">
        <f t="shared" si="52"/>
        <v>0.19589936307273983</v>
      </c>
      <c r="T527" s="20">
        <f t="shared" si="53"/>
        <v>0.44002258689264306</v>
      </c>
      <c r="U527" s="20">
        <v>291.53420639513672</v>
      </c>
    </row>
    <row r="528" spans="15:21" x14ac:dyDescent="0.35">
      <c r="O528" s="18">
        <v>5</v>
      </c>
      <c r="P528" s="18">
        <f t="shared" si="51"/>
        <v>2630</v>
      </c>
      <c r="Q528" s="3">
        <f t="shared" si="54"/>
        <v>2.1946575271328474E-5</v>
      </c>
      <c r="R528" s="3">
        <f t="shared" si="50"/>
        <v>1.0973287635664236E-4</v>
      </c>
      <c r="S528" s="3">
        <f t="shared" si="52"/>
        <v>0.19600936871946301</v>
      </c>
      <c r="T528" s="20">
        <f t="shared" si="53"/>
        <v>0.43893150542656945</v>
      </c>
      <c r="U528" s="20">
        <v>291.52841270389098</v>
      </c>
    </row>
    <row r="529" spans="15:21" x14ac:dyDescent="0.35">
      <c r="O529" s="18">
        <v>5</v>
      </c>
      <c r="P529" s="18">
        <f t="shared" si="51"/>
        <v>2635</v>
      </c>
      <c r="Q529" s="3">
        <f t="shared" si="54"/>
        <v>2.1892205056340685E-5</v>
      </c>
      <c r="R529" s="3">
        <f t="shared" si="50"/>
        <v>1.0946102528170342E-4</v>
      </c>
      <c r="S529" s="3">
        <f t="shared" si="52"/>
        <v>0.19611910159581966</v>
      </c>
      <c r="T529" s="20">
        <f t="shared" si="53"/>
        <v>0.43784410112681366</v>
      </c>
      <c r="U529" s="20">
        <v>291.52263852447106</v>
      </c>
    </row>
    <row r="530" spans="15:21" x14ac:dyDescent="0.35">
      <c r="O530" s="18">
        <v>5</v>
      </c>
      <c r="P530" s="18">
        <f t="shared" si="51"/>
        <v>2640</v>
      </c>
      <c r="Q530" s="3">
        <f t="shared" si="54"/>
        <v>2.1838017818283151E-5</v>
      </c>
      <c r="R530" s="3">
        <f t="shared" si="50"/>
        <v>1.0919008909141575E-4</v>
      </c>
      <c r="S530" s="3">
        <f t="shared" si="52"/>
        <v>0.19622856262110136</v>
      </c>
      <c r="T530" s="20">
        <f t="shared" si="53"/>
        <v>0.43676035636566307</v>
      </c>
      <c r="U530" s="20">
        <v>291.51688375496678</v>
      </c>
    </row>
    <row r="531" spans="15:21" x14ac:dyDescent="0.35">
      <c r="O531" s="18">
        <v>5</v>
      </c>
      <c r="P531" s="18">
        <f t="shared" si="51"/>
        <v>2645</v>
      </c>
      <c r="Q531" s="3">
        <f t="shared" si="54"/>
        <v>2.178401268153925E-5</v>
      </c>
      <c r="R531" s="3">
        <f t="shared" si="50"/>
        <v>1.0892006340769626E-4</v>
      </c>
      <c r="S531" s="3">
        <f t="shared" si="52"/>
        <v>0.19633775271019277</v>
      </c>
      <c r="T531" s="20">
        <f t="shared" si="53"/>
        <v>0.435680253630785</v>
      </c>
      <c r="U531" s="20">
        <v>291.51114830611425</v>
      </c>
    </row>
    <row r="532" spans="15:21" x14ac:dyDescent="0.35">
      <c r="O532" s="18">
        <v>5</v>
      </c>
      <c r="P532" s="18">
        <f t="shared" si="51"/>
        <v>2650</v>
      </c>
      <c r="Q532" s="3">
        <f t="shared" si="54"/>
        <v>2.1730188776213066E-5</v>
      </c>
      <c r="R532" s="3">
        <f t="shared" si="50"/>
        <v>1.0865094388106533E-4</v>
      </c>
      <c r="S532" s="3">
        <f t="shared" si="52"/>
        <v>0.19644667277360048</v>
      </c>
      <c r="T532" s="20">
        <f t="shared" si="53"/>
        <v>0.43460377552426127</v>
      </c>
      <c r="U532" s="20">
        <v>291.50543206656675</v>
      </c>
    </row>
    <row r="533" spans="15:21" x14ac:dyDescent="0.35">
      <c r="O533" s="18">
        <v>5</v>
      </c>
      <c r="P533" s="18">
        <f t="shared" si="51"/>
        <v>2655</v>
      </c>
      <c r="Q533" s="3">
        <f t="shared" si="54"/>
        <v>2.1676545238081593E-5</v>
      </c>
      <c r="R533" s="3">
        <f t="shared" si="50"/>
        <v>1.0838272619040796E-4</v>
      </c>
      <c r="S533" s="3">
        <f t="shared" si="52"/>
        <v>0.19655532371748155</v>
      </c>
      <c r="T533" s="20">
        <f t="shared" si="53"/>
        <v>0.43353090476163192</v>
      </c>
      <c r="U533" s="20">
        <v>291.49973496555839</v>
      </c>
    </row>
    <row r="534" spans="15:21" x14ac:dyDescent="0.35">
      <c r="O534" s="18">
        <v>5</v>
      </c>
      <c r="P534" s="18">
        <f t="shared" si="51"/>
        <v>2660</v>
      </c>
      <c r="Q534" s="3">
        <f t="shared" si="54"/>
        <v>2.1623081208547339E-5</v>
      </c>
      <c r="R534" s="3">
        <f t="shared" si="50"/>
        <v>1.081154060427367E-4</v>
      </c>
      <c r="S534" s="3">
        <f t="shared" si="52"/>
        <v>0.19666370644367195</v>
      </c>
      <c r="T534" s="20">
        <f t="shared" si="53"/>
        <v>0.43246162417094675</v>
      </c>
      <c r="U534" s="20">
        <v>291.49405691573702</v>
      </c>
    </row>
    <row r="535" spans="15:21" x14ac:dyDescent="0.35">
      <c r="O535" s="18">
        <v>5</v>
      </c>
      <c r="P535" s="18">
        <f t="shared" si="51"/>
        <v>2665</v>
      </c>
      <c r="Q535" s="3">
        <f t="shared" si="54"/>
        <v>2.1569795834591478E-5</v>
      </c>
      <c r="R535" s="3">
        <f t="shared" si="50"/>
        <v>1.0784897917295738E-4</v>
      </c>
      <c r="S535" s="3">
        <f t="shared" si="52"/>
        <v>0.1967718218497147</v>
      </c>
      <c r="T535" s="20">
        <f t="shared" si="53"/>
        <v>0.43139591669182953</v>
      </c>
      <c r="U535" s="20">
        <v>291.4883978179576</v>
      </c>
    </row>
    <row r="536" spans="15:21" x14ac:dyDescent="0.35">
      <c r="O536" s="18">
        <v>5</v>
      </c>
      <c r="P536" s="18">
        <f t="shared" si="51"/>
        <v>2670</v>
      </c>
      <c r="Q536" s="3">
        <f t="shared" si="54"/>
        <v>2.1516688268727481E-5</v>
      </c>
      <c r="R536" s="3">
        <f t="shared" si="50"/>
        <v>1.0758344134363741E-4</v>
      </c>
      <c r="S536" s="3">
        <f t="shared" si="52"/>
        <v>0.19687967082888766</v>
      </c>
      <c r="T536" s="20">
        <f t="shared" si="53"/>
        <v>0.43033376537454959</v>
      </c>
      <c r="U536" s="20">
        <v>291.48275756479046</v>
      </c>
    </row>
    <row r="537" spans="15:21" x14ac:dyDescent="0.35">
      <c r="O537" s="18">
        <v>5</v>
      </c>
      <c r="P537" s="18">
        <f t="shared" si="51"/>
        <v>2675</v>
      </c>
      <c r="Q537" s="3">
        <f t="shared" si="54"/>
        <v>2.1463757668955195E-5</v>
      </c>
      <c r="R537" s="3">
        <f t="shared" si="50"/>
        <v>1.0731878834477598E-4</v>
      </c>
      <c r="S537" s="3">
        <f t="shared" si="52"/>
        <v>0.19698725427023131</v>
      </c>
      <c r="T537" s="20">
        <f t="shared" si="53"/>
        <v>0.42927515337910388</v>
      </c>
      <c r="U537" s="20">
        <v>291.47713610555093</v>
      </c>
    </row>
    <row r="538" spans="15:21" x14ac:dyDescent="0.35">
      <c r="O538" s="18">
        <v>5</v>
      </c>
      <c r="P538" s="18">
        <f t="shared" si="51"/>
        <v>2680</v>
      </c>
      <c r="Q538" s="3">
        <f t="shared" si="54"/>
        <v>2.1411003198715397E-5</v>
      </c>
      <c r="R538" s="3">
        <f t="shared" si="50"/>
        <v>1.0705501599357698E-4</v>
      </c>
      <c r="S538" s="3">
        <f t="shared" si="52"/>
        <v>0.19709457305857608</v>
      </c>
      <c r="T538" s="20">
        <f t="shared" si="53"/>
        <v>0.4282200639743079</v>
      </c>
      <c r="U538" s="20">
        <v>291.47153331523015</v>
      </c>
    </row>
    <row r="539" spans="15:21" x14ac:dyDescent="0.35">
      <c r="O539" s="18">
        <v>5</v>
      </c>
      <c r="P539" s="18">
        <f t="shared" si="51"/>
        <v>2685</v>
      </c>
      <c r="Q539" s="3">
        <f t="shared" si="54"/>
        <v>2.1358424026844749E-5</v>
      </c>
      <c r="R539" s="3">
        <f t="shared" si="50"/>
        <v>1.0679212013422374E-4</v>
      </c>
      <c r="S539" s="3">
        <f t="shared" si="52"/>
        <v>0.19720162807456967</v>
      </c>
      <c r="T539" s="20">
        <f t="shared" si="53"/>
        <v>0.42716848053689493</v>
      </c>
      <c r="U539" s="20">
        <v>291.46594912864055</v>
      </c>
    </row>
    <row r="540" spans="15:21" x14ac:dyDescent="0.35">
      <c r="O540" s="18">
        <v>5</v>
      </c>
      <c r="P540" s="18">
        <f t="shared" si="51"/>
        <v>2690</v>
      </c>
      <c r="Q540" s="3">
        <f t="shared" si="54"/>
        <v>2.1306019327531348E-5</v>
      </c>
      <c r="R540" s="3">
        <f t="shared" si="50"/>
        <v>1.0653009663765674E-4</v>
      </c>
      <c r="S540" s="3">
        <f t="shared" si="52"/>
        <v>0.1973084201947039</v>
      </c>
      <c r="T540" s="20">
        <f t="shared" si="53"/>
        <v>0.42612038655062695</v>
      </c>
      <c r="U540" s="20">
        <v>291.46038346013171</v>
      </c>
    </row>
    <row r="541" spans="15:21" x14ac:dyDescent="0.35">
      <c r="O541" s="18">
        <v>5</v>
      </c>
      <c r="P541" s="18">
        <f t="shared" si="51"/>
        <v>2695</v>
      </c>
      <c r="Q541" s="3">
        <f t="shared" si="54"/>
        <v>2.1253788280270561E-5</v>
      </c>
      <c r="R541" s="3">
        <f t="shared" si="50"/>
        <v>1.0626894140135281E-4</v>
      </c>
      <c r="S541" s="3">
        <f t="shared" si="52"/>
        <v>0.19741495029134157</v>
      </c>
      <c r="T541" s="20">
        <f t="shared" si="53"/>
        <v>0.42507576560541122</v>
      </c>
      <c r="U541" s="20">
        <v>291.45483620614999</v>
      </c>
    </row>
    <row r="542" spans="15:21" x14ac:dyDescent="0.35">
      <c r="O542" s="18">
        <v>5</v>
      </c>
      <c r="P542" s="18">
        <f t="shared" si="51"/>
        <v>2700</v>
      </c>
      <c r="Q542" s="3">
        <f t="shared" si="54"/>
        <v>2.1201730069821406E-5</v>
      </c>
      <c r="R542" s="3">
        <f t="shared" si="50"/>
        <v>1.0600865034910702E-4</v>
      </c>
      <c r="S542" s="3">
        <f t="shared" si="52"/>
        <v>0.19752121923274293</v>
      </c>
      <c r="T542" s="20">
        <f t="shared" si="53"/>
        <v>0.42403460139642812</v>
      </c>
      <c r="U542" s="20">
        <v>291.44930728057318</v>
      </c>
    </row>
    <row r="543" spans="15:21" x14ac:dyDescent="0.35">
      <c r="O543" s="18">
        <v>5</v>
      </c>
      <c r="P543" s="18">
        <f t="shared" si="51"/>
        <v>2705</v>
      </c>
      <c r="Q543" s="3">
        <f t="shared" si="54"/>
        <v>2.1149843886163348E-5</v>
      </c>
      <c r="R543" s="3">
        <f t="shared" si="50"/>
        <v>1.0574921943081674E-4</v>
      </c>
      <c r="S543" s="3">
        <f t="shared" si="52"/>
        <v>0.19762722788309203</v>
      </c>
      <c r="T543" s="20">
        <f t="shared" si="53"/>
        <v>0.42299687772326694</v>
      </c>
      <c r="U543" s="20">
        <v>291.44379660147706</v>
      </c>
    </row>
    <row r="544" spans="15:21" x14ac:dyDescent="0.35">
      <c r="O544" s="18">
        <v>5</v>
      </c>
      <c r="P544" s="18">
        <f t="shared" si="51"/>
        <v>2710</v>
      </c>
      <c r="Q544" s="3">
        <f t="shared" si="54"/>
        <v>2.1098128924453487E-5</v>
      </c>
      <c r="R544" s="3">
        <f t="shared" si="50"/>
        <v>1.0549064462226744E-4</v>
      </c>
      <c r="S544" s="3">
        <f t="shared" si="52"/>
        <v>0.19773297710252286</v>
      </c>
      <c r="T544" s="20">
        <f t="shared" si="53"/>
        <v>0.42196257848906971</v>
      </c>
      <c r="U544" s="20">
        <v>291.43830409552908</v>
      </c>
    </row>
    <row r="545" spans="15:21" x14ac:dyDescent="0.35">
      <c r="O545" s="18">
        <v>5</v>
      </c>
      <c r="P545" s="18">
        <f t="shared" si="51"/>
        <v>2715</v>
      </c>
      <c r="Q545" s="3">
        <f t="shared" si="54"/>
        <v>2.1046584384984239E-5</v>
      </c>
      <c r="R545" s="3">
        <f t="shared" si="50"/>
        <v>1.052329219249212E-4</v>
      </c>
      <c r="S545" s="3">
        <f t="shared" si="52"/>
        <v>0.19783846774714511</v>
      </c>
      <c r="T545" s="20">
        <f t="shared" si="53"/>
        <v>0.42093168769968475</v>
      </c>
      <c r="U545" s="20">
        <v>291.43282966763894</v>
      </c>
    </row>
    <row r="546" spans="15:21" x14ac:dyDescent="0.35">
      <c r="O546" s="18">
        <v>5</v>
      </c>
      <c r="P546" s="18">
        <f t="shared" si="51"/>
        <v>2720</v>
      </c>
      <c r="Q546" s="3">
        <f t="shared" si="54"/>
        <v>2.0995209473141396E-5</v>
      </c>
      <c r="R546" s="3">
        <f t="shared" si="50"/>
        <v>1.0497604736570698E-4</v>
      </c>
      <c r="S546" s="3">
        <f t="shared" si="52"/>
        <v>0.19794370066907002</v>
      </c>
      <c r="T546" s="20">
        <f t="shared" si="53"/>
        <v>0.41990418946282798</v>
      </c>
      <c r="U546" s="20">
        <v>291.42737324506561</v>
      </c>
    </row>
    <row r="547" spans="15:21" x14ac:dyDescent="0.35">
      <c r="O547" s="18">
        <v>5</v>
      </c>
      <c r="P547" s="18">
        <f t="shared" si="51"/>
        <v>2725</v>
      </c>
      <c r="Q547" s="3">
        <f t="shared" si="54"/>
        <v>2.09440033993626E-5</v>
      </c>
      <c r="R547" s="3">
        <f t="shared" si="50"/>
        <v>1.04720016996813E-4</v>
      </c>
      <c r="S547" s="3">
        <f t="shared" si="52"/>
        <v>0.19804867671643572</v>
      </c>
      <c r="T547" s="20">
        <f t="shared" si="53"/>
        <v>0.41888006798725197</v>
      </c>
      <c r="U547" s="20">
        <v>291.42193472005277</v>
      </c>
    </row>
    <row r="548" spans="15:21" x14ac:dyDescent="0.35">
      <c r="O548" s="18">
        <v>5</v>
      </c>
      <c r="P548" s="18">
        <f t="shared" si="51"/>
        <v>2730</v>
      </c>
      <c r="Q548" s="3">
        <f t="shared" si="54"/>
        <v>2.0892965379096245E-5</v>
      </c>
      <c r="R548" s="3">
        <f t="shared" si="50"/>
        <v>1.0446482689548123E-4</v>
      </c>
      <c r="S548" s="3">
        <f t="shared" si="52"/>
        <v>0.19815339673343255</v>
      </c>
      <c r="T548" s="20">
        <f t="shared" si="53"/>
        <v>0.41785930758192491</v>
      </c>
      <c r="U548" s="20">
        <v>291.41651404193675</v>
      </c>
    </row>
    <row r="549" spans="15:21" x14ac:dyDescent="0.35">
      <c r="O549" s="18">
        <v>5</v>
      </c>
      <c r="P549" s="18">
        <f t="shared" si="51"/>
        <v>2735</v>
      </c>
      <c r="Q549" s="3">
        <f t="shared" si="54"/>
        <v>2.0842094632760824E-5</v>
      </c>
      <c r="R549" s="3">
        <f t="shared" si="50"/>
        <v>1.0421047316380412E-4</v>
      </c>
      <c r="S549" s="3">
        <f t="shared" si="52"/>
        <v>0.19825786156032804</v>
      </c>
      <c r="T549" s="20">
        <f t="shared" si="53"/>
        <v>0.41684189265521643</v>
      </c>
      <c r="U549" s="20">
        <v>291.41111108980249</v>
      </c>
    </row>
    <row r="550" spans="15:21" x14ac:dyDescent="0.35">
      <c r="O550" s="18">
        <v>5</v>
      </c>
      <c r="P550" s="18">
        <f t="shared" si="51"/>
        <v>2740</v>
      </c>
      <c r="Q550" s="3">
        <f t="shared" si="54"/>
        <v>2.0791390385704582E-5</v>
      </c>
      <c r="R550" s="3">
        <f t="shared" si="50"/>
        <v>1.0395695192852291E-4</v>
      </c>
      <c r="S550" s="3">
        <f t="shared" si="52"/>
        <v>0.19836207203349185</v>
      </c>
      <c r="T550" s="20">
        <f t="shared" si="53"/>
        <v>0.41582780771409161</v>
      </c>
      <c r="U550" s="20">
        <v>291.40572580756032</v>
      </c>
    </row>
    <row r="551" spans="15:21" x14ac:dyDescent="0.35">
      <c r="O551" s="18">
        <v>5</v>
      </c>
      <c r="P551" s="18">
        <f t="shared" si="51"/>
        <v>2745</v>
      </c>
      <c r="Q551" s="3">
        <f t="shared" si="54"/>
        <v>2.0740851868165656E-5</v>
      </c>
      <c r="R551" s="3">
        <f t="shared" si="50"/>
        <v>1.0370425934082828E-4</v>
      </c>
      <c r="S551" s="3">
        <f t="shared" si="52"/>
        <v>0.19846602898542037</v>
      </c>
      <c r="T551" s="20">
        <f t="shared" si="53"/>
        <v>0.4148170373633131</v>
      </c>
      <c r="U551" s="20">
        <v>291.40035809708485</v>
      </c>
    </row>
    <row r="552" spans="15:21" x14ac:dyDescent="0.35">
      <c r="O552" s="18">
        <v>5</v>
      </c>
      <c r="P552" s="18">
        <f t="shared" si="51"/>
        <v>2750</v>
      </c>
      <c r="Q552" s="3">
        <f t="shared" si="54"/>
        <v>2.0690478315232565E-5</v>
      </c>
      <c r="R552" s="3">
        <f t="shared" si="50"/>
        <v>1.0345239157616282E-4</v>
      </c>
      <c r="S552" s="3">
        <f t="shared" si="52"/>
        <v>0.19856973324476121</v>
      </c>
      <c r="T552" s="20">
        <f t="shared" si="53"/>
        <v>0.41380956630465138</v>
      </c>
      <c r="U552" s="20">
        <v>291.39500789956168</v>
      </c>
    </row>
    <row r="553" spans="15:21" x14ac:dyDescent="0.35">
      <c r="O553" s="18">
        <v>5</v>
      </c>
      <c r="P553" s="18">
        <f t="shared" si="51"/>
        <v>2755</v>
      </c>
      <c r="Q553" s="3">
        <f t="shared" si="54"/>
        <v>2.0640268966805099E-5</v>
      </c>
      <c r="R553" s="3">
        <f t="shared" si="50"/>
        <v>1.0320134483402549E-4</v>
      </c>
      <c r="S553" s="3">
        <f t="shared" si="52"/>
        <v>0.19867318563633737</v>
      </c>
      <c r="T553" s="20">
        <f t="shared" si="53"/>
        <v>0.41280537933610195</v>
      </c>
      <c r="U553" s="20">
        <v>291.38967512253225</v>
      </c>
    </row>
    <row r="554" spans="15:21" x14ac:dyDescent="0.35">
      <c r="O554" s="18">
        <v>5</v>
      </c>
      <c r="P554" s="18">
        <f t="shared" si="51"/>
        <v>2760</v>
      </c>
      <c r="Q554" s="3">
        <f t="shared" si="54"/>
        <v>2.0590223067555612E-5</v>
      </c>
      <c r="R554" s="3">
        <f t="shared" si="50"/>
        <v>1.0295111533777806E-4</v>
      </c>
      <c r="S554" s="3">
        <f t="shared" si="52"/>
        <v>0.19877638698117139</v>
      </c>
      <c r="T554" s="20">
        <f t="shared" si="53"/>
        <v>0.41180446135111226</v>
      </c>
      <c r="U554" s="20">
        <v>291.38435970410256</v>
      </c>
    </row>
    <row r="555" spans="15:21" x14ac:dyDescent="0.35">
      <c r="O555" s="18">
        <v>5</v>
      </c>
      <c r="P555" s="18">
        <f t="shared" si="51"/>
        <v>2765</v>
      </c>
      <c r="Q555" s="3">
        <f t="shared" si="54"/>
        <v>2.0540339866890622E-5</v>
      </c>
      <c r="R555" s="3">
        <f t="shared" si="50"/>
        <v>1.027016993344531E-4</v>
      </c>
      <c r="S555" s="3">
        <f t="shared" si="52"/>
        <v>0.19887933809650918</v>
      </c>
      <c r="T555" s="20">
        <f t="shared" si="53"/>
        <v>0.41080679733781245</v>
      </c>
      <c r="U555" s="20">
        <v>291.37906153120315</v>
      </c>
    </row>
    <row r="556" spans="15:21" x14ac:dyDescent="0.35">
      <c r="O556" s="18">
        <v>5</v>
      </c>
      <c r="P556" s="18">
        <f t="shared" si="51"/>
        <v>2770</v>
      </c>
      <c r="Q556" s="3">
        <f t="shared" si="54"/>
        <v>2.049061861891292E-5</v>
      </c>
      <c r="R556" s="3">
        <f t="shared" si="50"/>
        <v>1.024530930945646E-4</v>
      </c>
      <c r="S556" s="3">
        <f t="shared" si="52"/>
        <v>0.19898203979584364</v>
      </c>
      <c r="T556" s="20">
        <f t="shared" si="53"/>
        <v>0.40981237237825835</v>
      </c>
      <c r="U556" s="20">
        <v>291.3737805167317</v>
      </c>
    </row>
    <row r="557" spans="15:21" x14ac:dyDescent="0.35">
      <c r="O557" s="18">
        <v>5</v>
      </c>
      <c r="P557" s="18">
        <f t="shared" si="51"/>
        <v>2775</v>
      </c>
      <c r="Q557" s="3">
        <f t="shared" si="54"/>
        <v>2.0441058582383918E-5</v>
      </c>
      <c r="R557" s="3">
        <f t="shared" si="50"/>
        <v>1.0220529291191959E-4</v>
      </c>
      <c r="S557" s="3">
        <f t="shared" si="52"/>
        <v>0.1990844928889382</v>
      </c>
      <c r="T557" s="20">
        <f t="shared" si="53"/>
        <v>0.40882117164767834</v>
      </c>
      <c r="U557" s="20">
        <v>291.36851662773091</v>
      </c>
    </row>
    <row r="558" spans="15:21" x14ac:dyDescent="0.35">
      <c r="O558" s="18">
        <v>5</v>
      </c>
      <c r="P558" s="18">
        <f t="shared" si="51"/>
        <v>2780</v>
      </c>
      <c r="Q558" s="3">
        <f t="shared" si="54"/>
        <v>2.0391659020686402E-5</v>
      </c>
      <c r="R558" s="3">
        <f t="shared" si="50"/>
        <v>1.0195829510343201E-4</v>
      </c>
      <c r="S558" s="3">
        <f t="shared" si="52"/>
        <v>0.19918669818185011</v>
      </c>
      <c r="T558" s="20">
        <f t="shared" si="53"/>
        <v>0.40783318041372801</v>
      </c>
      <c r="U558" s="20">
        <v>291.36326977514506</v>
      </c>
    </row>
    <row r="559" spans="15:21" x14ac:dyDescent="0.35">
      <c r="O559" s="18">
        <v>5</v>
      </c>
      <c r="P559" s="18">
        <f t="shared" si="51"/>
        <v>2785</v>
      </c>
      <c r="Q559" s="3">
        <f t="shared" si="54"/>
        <v>2.0342419201787716E-5</v>
      </c>
      <c r="R559" s="3">
        <f t="shared" si="50"/>
        <v>1.0171209600893858E-4</v>
      </c>
      <c r="S559" s="3">
        <f t="shared" si="52"/>
        <v>0.19928865647695354</v>
      </c>
      <c r="T559" s="20">
        <f t="shared" si="53"/>
        <v>0.40684838403575435</v>
      </c>
      <c r="U559" s="20">
        <v>291.35803984780949</v>
      </c>
    </row>
    <row r="560" spans="15:21" x14ac:dyDescent="0.35">
      <c r="O560" s="18">
        <v>5</v>
      </c>
      <c r="P560" s="18">
        <f t="shared" si="51"/>
        <v>2790</v>
      </c>
      <c r="Q560" s="3">
        <f t="shared" si="54"/>
        <v>2.0293338398203207E-5</v>
      </c>
      <c r="R560" s="3">
        <f t="shared" si="50"/>
        <v>1.0146669199101604E-4</v>
      </c>
      <c r="S560" s="3">
        <f t="shared" si="52"/>
        <v>0.19939036857296247</v>
      </c>
      <c r="T560" s="20">
        <f t="shared" si="53"/>
        <v>0.40586676796406412</v>
      </c>
      <c r="U560" s="20">
        <v>291.35282680764288</v>
      </c>
    </row>
    <row r="561" spans="15:21" x14ac:dyDescent="0.35">
      <c r="O561" s="18">
        <v>5</v>
      </c>
      <c r="P561" s="18">
        <f t="shared" si="51"/>
        <v>2795</v>
      </c>
      <c r="Q561" s="3">
        <f t="shared" si="54"/>
        <v>2.0244415886960064E-5</v>
      </c>
      <c r="R561" s="3">
        <f t="shared" si="50"/>
        <v>1.0122207943480032E-4</v>
      </c>
      <c r="S561" s="3">
        <f t="shared" si="52"/>
        <v>0.19949183526495348</v>
      </c>
      <c r="T561" s="20">
        <f t="shared" si="53"/>
        <v>0.40488831773920131</v>
      </c>
      <c r="U561" s="20">
        <v>291.34763057140384</v>
      </c>
    </row>
    <row r="562" spans="15:21" x14ac:dyDescent="0.35">
      <c r="O562" s="18">
        <v>5</v>
      </c>
      <c r="P562" s="18">
        <f t="shared" si="51"/>
        <v>2800</v>
      </c>
      <c r="Q562" s="3">
        <f t="shared" si="54"/>
        <v>2.0195650949561553E-5</v>
      </c>
      <c r="R562" s="3">
        <f t="shared" si="50"/>
        <v>1.0097825474780776E-4</v>
      </c>
      <c r="S562" s="3">
        <f t="shared" si="52"/>
        <v>0.19959305734438829</v>
      </c>
      <c r="T562" s="20">
        <f t="shared" si="53"/>
        <v>0.40391301899123105</v>
      </c>
      <c r="U562" s="20">
        <v>291.34245102032105</v>
      </c>
    </row>
    <row r="563" spans="15:21" x14ac:dyDescent="0.35">
      <c r="O563" s="18">
        <v>5</v>
      </c>
      <c r="P563" s="18">
        <f t="shared" si="51"/>
        <v>2805</v>
      </c>
      <c r="Q563" s="3">
        <f t="shared" si="54"/>
        <v>2.0147042871951529E-5</v>
      </c>
      <c r="R563" s="3">
        <f t="shared" si="50"/>
        <v>1.0073521435975764E-4</v>
      </c>
      <c r="S563" s="3">
        <f t="shared" si="52"/>
        <v>0.19969403559913609</v>
      </c>
      <c r="T563" s="20">
        <f t="shared" si="53"/>
        <v>0.40294085743903058</v>
      </c>
      <c r="U563" s="20">
        <v>291.33728813155221</v>
      </c>
    </row>
    <row r="564" spans="15:21" x14ac:dyDescent="0.35">
      <c r="O564" s="18">
        <v>5</v>
      </c>
      <c r="P564" s="18">
        <f t="shared" si="51"/>
        <v>2810</v>
      </c>
      <c r="Q564" s="3">
        <f t="shared" si="54"/>
        <v>2.0098590944479297E-5</v>
      </c>
      <c r="R564" s="3">
        <f t="shared" si="50"/>
        <v>1.0049295472239649E-4</v>
      </c>
      <c r="S564" s="3">
        <f t="shared" si="52"/>
        <v>0.19979477081349586</v>
      </c>
      <c r="T564" s="20">
        <f t="shared" si="53"/>
        <v>0.40197181888958594</v>
      </c>
      <c r="U564" s="20">
        <v>291.33214182189101</v>
      </c>
    </row>
    <row r="565" spans="15:21" x14ac:dyDescent="0.35">
      <c r="O565" s="18">
        <v>5</v>
      </c>
      <c r="P565" s="18">
        <f t="shared" si="51"/>
        <v>2815</v>
      </c>
      <c r="Q565" s="3">
        <f t="shared" si="54"/>
        <v>2.0050294461864881E-5</v>
      </c>
      <c r="R565" s="3">
        <f t="shared" si="50"/>
        <v>1.0025147230932441E-4</v>
      </c>
      <c r="S565" s="3">
        <f t="shared" si="52"/>
        <v>0.19989526376821826</v>
      </c>
      <c r="T565" s="20">
        <f t="shared" si="53"/>
        <v>0.40100588923729757</v>
      </c>
      <c r="U565" s="20">
        <v>291.32701198006612</v>
      </c>
    </row>
    <row r="566" spans="15:21" x14ac:dyDescent="0.35">
      <c r="O566" s="18">
        <v>5</v>
      </c>
      <c r="P566" s="18">
        <f t="shared" si="51"/>
        <v>2820</v>
      </c>
      <c r="Q566" s="3">
        <f t="shared" si="54"/>
        <v>2.0002152723164525E-5</v>
      </c>
      <c r="R566" s="3">
        <f t="shared" si="50"/>
        <v>1.0001076361582262E-4</v>
      </c>
      <c r="S566" s="3">
        <f t="shared" si="52"/>
        <v>0.19999551524052758</v>
      </c>
      <c r="T566" s="20">
        <f t="shared" si="53"/>
        <v>0.40004305446329053</v>
      </c>
      <c r="U566" s="20">
        <v>291.32189856716724</v>
      </c>
    </row>
    <row r="567" spans="15:21" x14ac:dyDescent="0.35">
      <c r="O567" s="18">
        <v>5</v>
      </c>
      <c r="P567" s="18">
        <f t="shared" si="51"/>
        <v>2825</v>
      </c>
      <c r="Q567" s="3">
        <f t="shared" si="54"/>
        <v>1.9954165031736624E-5</v>
      </c>
      <c r="R567" s="3">
        <f t="shared" si="50"/>
        <v>9.9770825158683124E-5</v>
      </c>
      <c r="S567" s="3">
        <f t="shared" si="52"/>
        <v>0.2000955260041434</v>
      </c>
      <c r="T567" s="20">
        <f t="shared" si="53"/>
        <v>0.39908330063473246</v>
      </c>
      <c r="U567" s="20">
        <v>291.31680151877134</v>
      </c>
    </row>
    <row r="568" spans="15:21" x14ac:dyDescent="0.35">
      <c r="O568" s="18">
        <v>5</v>
      </c>
      <c r="P568" s="18">
        <f t="shared" si="51"/>
        <v>2830</v>
      </c>
      <c r="Q568" s="3">
        <f t="shared" si="54"/>
        <v>1.9906330695207897E-5</v>
      </c>
      <c r="R568" s="3">
        <f t="shared" si="50"/>
        <v>9.9531653476039482E-5</v>
      </c>
      <c r="S568" s="3">
        <f t="shared" si="52"/>
        <v>0.20019529682930209</v>
      </c>
      <c r="T568" s="20">
        <f t="shared" si="53"/>
        <v>0.39812661390415793</v>
      </c>
      <c r="U568" s="20">
        <v>291.31172072478893</v>
      </c>
    </row>
    <row r="569" spans="15:21" x14ac:dyDescent="0.35">
      <c r="O569" s="18">
        <v>5</v>
      </c>
      <c r="P569" s="18">
        <f t="shared" si="51"/>
        <v>2835</v>
      </c>
      <c r="Q569" s="3">
        <f t="shared" si="54"/>
        <v>1.9858649025439958E-5</v>
      </c>
      <c r="R569" s="3">
        <f t="shared" si="50"/>
        <v>9.9293245127199788E-5</v>
      </c>
      <c r="S569" s="3">
        <f t="shared" si="52"/>
        <v>0.20029482848277813</v>
      </c>
      <c r="T569" s="20">
        <f t="shared" si="53"/>
        <v>0.39717298050879912</v>
      </c>
      <c r="U569" s="20">
        <v>291.30665610624709</v>
      </c>
    </row>
    <row r="570" spans="15:21" x14ac:dyDescent="0.35">
      <c r="O570" s="18">
        <v>5</v>
      </c>
      <c r="P570" s="18">
        <f t="shared" si="51"/>
        <v>2840</v>
      </c>
      <c r="Q570" s="3">
        <f t="shared" si="54"/>
        <v>1.9811119338496147E-5</v>
      </c>
      <c r="R570" s="3">
        <f t="shared" si="50"/>
        <v>9.9055596692480737E-5</v>
      </c>
      <c r="S570" s="3">
        <f t="shared" si="52"/>
        <v>0.20039412172790533</v>
      </c>
      <c r="T570" s="20">
        <f t="shared" si="53"/>
        <v>0.39622238676992294</v>
      </c>
      <c r="U570" s="20">
        <v>291.30160763914517</v>
      </c>
    </row>
    <row r="571" spans="15:21" x14ac:dyDescent="0.35">
      <c r="O571" s="18">
        <v>5</v>
      </c>
      <c r="P571" s="18">
        <f t="shared" si="51"/>
        <v>2845</v>
      </c>
      <c r="Q571" s="3">
        <f t="shared" si="54"/>
        <v>1.9763740954608708E-5</v>
      </c>
      <c r="R571" s="3">
        <f t="shared" si="50"/>
        <v>9.8818704773043543E-5</v>
      </c>
      <c r="S571" s="3">
        <f t="shared" si="52"/>
        <v>0.20049317732459782</v>
      </c>
      <c r="T571" s="20">
        <f t="shared" si="53"/>
        <v>0.39527481909217421</v>
      </c>
      <c r="U571" s="20">
        <v>291.29657523078356</v>
      </c>
    </row>
    <row r="572" spans="15:21" x14ac:dyDescent="0.35">
      <c r="O572" s="18">
        <v>5</v>
      </c>
      <c r="P572" s="18">
        <f t="shared" si="51"/>
        <v>2850</v>
      </c>
      <c r="Q572" s="3">
        <f t="shared" si="54"/>
        <v>1.9716513198146277E-5</v>
      </c>
      <c r="R572" s="3">
        <f t="shared" si="50"/>
        <v>9.8582565990731387E-5</v>
      </c>
      <c r="S572" s="3">
        <f t="shared" si="52"/>
        <v>0.20059199602937086</v>
      </c>
      <c r="T572" s="20">
        <f t="shared" si="53"/>
        <v>0.39433026396292553</v>
      </c>
      <c r="U572" s="20">
        <v>291.29155878282802</v>
      </c>
    </row>
    <row r="573" spans="15:21" x14ac:dyDescent="0.35">
      <c r="O573" s="18">
        <v>5</v>
      </c>
      <c r="P573" s="18">
        <f t="shared" si="51"/>
        <v>2855</v>
      </c>
      <c r="Q573" s="3">
        <f t="shared" si="54"/>
        <v>1.9669435397581674E-5</v>
      </c>
      <c r="R573" s="3">
        <f t="shared" si="50"/>
        <v>9.8347176987908364E-5</v>
      </c>
      <c r="S573" s="3">
        <f t="shared" si="52"/>
        <v>0.2006905785953616</v>
      </c>
      <c r="T573" s="20">
        <f t="shared" si="53"/>
        <v>0.39338870795163344</v>
      </c>
      <c r="U573" s="20">
        <v>291.28655825599134</v>
      </c>
    </row>
    <row r="574" spans="15:21" x14ac:dyDescent="0.35">
      <c r="O574" s="18">
        <v>5</v>
      </c>
      <c r="P574" s="18">
        <f t="shared" si="51"/>
        <v>2860</v>
      </c>
      <c r="Q574" s="3">
        <f t="shared" si="54"/>
        <v>1.9622506885460007E-5</v>
      </c>
      <c r="R574" s="3">
        <f t="shared" si="50"/>
        <v>9.8112534427300034E-5</v>
      </c>
      <c r="S574" s="3">
        <f t="shared" si="52"/>
        <v>0.2007889257723495</v>
      </c>
      <c r="T574" s="20">
        <f t="shared" si="53"/>
        <v>0.39245013770920018</v>
      </c>
      <c r="U574" s="20">
        <v>291.28157357073854</v>
      </c>
    </row>
    <row r="575" spans="15:21" x14ac:dyDescent="0.35">
      <c r="O575" s="18">
        <v>5</v>
      </c>
      <c r="P575" s="18">
        <f t="shared" si="51"/>
        <v>2865</v>
      </c>
      <c r="Q575" s="3">
        <f t="shared" si="54"/>
        <v>1.9575726998367046E-5</v>
      </c>
      <c r="R575" s="3">
        <f t="shared" si="50"/>
        <v>9.7878634991835237E-5</v>
      </c>
      <c r="S575" s="3">
        <f t="shared" si="52"/>
        <v>0.20088703830677679</v>
      </c>
      <c r="T575" s="20">
        <f t="shared" si="53"/>
        <v>0.39151453996734092</v>
      </c>
      <c r="U575" s="20">
        <v>291.27660466630334</v>
      </c>
    </row>
    <row r="576" spans="15:21" x14ac:dyDescent="0.35">
      <c r="O576" s="18">
        <v>5</v>
      </c>
      <c r="P576" s="18">
        <f t="shared" si="51"/>
        <v>2870</v>
      </c>
      <c r="Q576" s="3">
        <f t="shared" si="54"/>
        <v>1.9529095076897949E-5</v>
      </c>
      <c r="R576" s="3">
        <f t="shared" si="50"/>
        <v>9.7645475384489739E-5</v>
      </c>
      <c r="S576" s="3">
        <f t="shared" si="52"/>
        <v>0.20098491694176862</v>
      </c>
      <c r="T576" s="20">
        <f t="shared" si="53"/>
        <v>0.39058190153795896</v>
      </c>
      <c r="U576" s="20">
        <v>291.27165145882549</v>
      </c>
    </row>
    <row r="577" spans="15:21" x14ac:dyDescent="0.35">
      <c r="O577" s="18">
        <v>5</v>
      </c>
      <c r="P577" s="18">
        <f t="shared" si="51"/>
        <v>2875</v>
      </c>
      <c r="Q577" s="3">
        <f t="shared" si="54"/>
        <v>1.9482610465626259E-5</v>
      </c>
      <c r="R577" s="3">
        <f t="shared" si="50"/>
        <v>9.74130523281313E-5</v>
      </c>
      <c r="S577" s="3">
        <f t="shared" si="52"/>
        <v>0.20108256241715311</v>
      </c>
      <c r="T577" s="20">
        <f t="shared" si="53"/>
        <v>0.38965220931252514</v>
      </c>
      <c r="U577" s="20">
        <v>291.2667138627159</v>
      </c>
    </row>
    <row r="578" spans="15:21" x14ac:dyDescent="0.35">
      <c r="O578" s="18">
        <v>5</v>
      </c>
      <c r="P578" s="18">
        <f t="shared" si="51"/>
        <v>2880</v>
      </c>
      <c r="Q578" s="3">
        <f t="shared" si="54"/>
        <v>1.9436272513073171E-5</v>
      </c>
      <c r="R578" s="3">
        <f t="shared" ref="R578:R641" si="55">Q578*O578</f>
        <v>9.7181362565365863E-5</v>
      </c>
      <c r="S578" s="3">
        <f t="shared" si="52"/>
        <v>0.20117997546948124</v>
      </c>
      <c r="T578" s="20">
        <f t="shared" si="53"/>
        <v>0.38872545026146338</v>
      </c>
      <c r="U578" s="20">
        <v>291.26179184014848</v>
      </c>
    </row>
    <row r="579" spans="15:21" x14ac:dyDescent="0.35">
      <c r="O579" s="18">
        <v>5</v>
      </c>
      <c r="P579" s="18">
        <f t="shared" ref="P579:P642" si="56">O579+P578</f>
        <v>2885</v>
      </c>
      <c r="Q579" s="3">
        <f t="shared" si="54"/>
        <v>1.9390080571677133E-5</v>
      </c>
      <c r="R579" s="3">
        <f t="shared" si="55"/>
        <v>9.6950402858385674E-5</v>
      </c>
      <c r="S579" s="3">
        <f t="shared" ref="S579:S642" si="57">S578+R578</f>
        <v>0.20127715683204661</v>
      </c>
      <c r="T579" s="20">
        <f t="shared" ref="T579:T642" si="58">Q579*$B$9*$B$2*0.5/$B$11</f>
        <v>0.38780161143354264</v>
      </c>
      <c r="U579" s="20">
        <v>291.25688531708744</v>
      </c>
    </row>
    <row r="580" spans="15:21" x14ac:dyDescent="0.35">
      <c r="O580" s="18">
        <v>5</v>
      </c>
      <c r="P580" s="18">
        <f t="shared" si="56"/>
        <v>2890</v>
      </c>
      <c r="Q580" s="3">
        <f t="shared" ref="Q580:Q643" si="59">$T$2*(1-(S580/$B$12))/($B$9*((0.5*$B$2/$B$11)+(S580/$B$10)))</f>
        <v>1.934403399776368E-5</v>
      </c>
      <c r="R580" s="3">
        <f t="shared" si="55"/>
        <v>9.67201699888184E-5</v>
      </c>
      <c r="S580" s="3">
        <f t="shared" si="57"/>
        <v>0.20137410723490501</v>
      </c>
      <c r="T580" s="20">
        <f t="shared" si="58"/>
        <v>0.38688067995527359</v>
      </c>
      <c r="U580" s="20">
        <v>291.25199419977537</v>
      </c>
    </row>
    <row r="581" spans="15:21" x14ac:dyDescent="0.35">
      <c r="O581" s="18">
        <v>5</v>
      </c>
      <c r="P581" s="18">
        <f t="shared" si="56"/>
        <v>2895</v>
      </c>
      <c r="Q581" s="3">
        <f t="shared" si="59"/>
        <v>1.9298132151515605E-5</v>
      </c>
      <c r="R581" s="3">
        <f t="shared" si="55"/>
        <v>9.6490660757578026E-5</v>
      </c>
      <c r="S581" s="3">
        <f t="shared" si="57"/>
        <v>0.20147082740489383</v>
      </c>
      <c r="T581" s="20">
        <f t="shared" si="58"/>
        <v>0.38596264303031214</v>
      </c>
      <c r="U581" s="20">
        <v>291.2471184546917</v>
      </c>
    </row>
    <row r="582" spans="15:21" x14ac:dyDescent="0.35">
      <c r="O582" s="18">
        <v>5</v>
      </c>
      <c r="P582" s="18">
        <f t="shared" si="56"/>
        <v>2900</v>
      </c>
      <c r="Q582" s="3">
        <f t="shared" si="59"/>
        <v>1.9252374396943371E-5</v>
      </c>
      <c r="R582" s="3">
        <f t="shared" si="55"/>
        <v>9.6261871984716846E-5</v>
      </c>
      <c r="S582" s="3">
        <f t="shared" si="57"/>
        <v>0.2015673180656514</v>
      </c>
      <c r="T582" s="20">
        <f t="shared" si="58"/>
        <v>0.38504748793886739</v>
      </c>
      <c r="U582" s="20">
        <v>291.24225799528165</v>
      </c>
    </row>
    <row r="583" spans="15:21" x14ac:dyDescent="0.35">
      <c r="O583" s="18">
        <v>5</v>
      </c>
      <c r="P583" s="18">
        <f t="shared" si="56"/>
        <v>2905</v>
      </c>
      <c r="Q583" s="3">
        <f t="shared" si="59"/>
        <v>1.9206760101855791E-5</v>
      </c>
      <c r="R583" s="3">
        <f t="shared" si="55"/>
        <v>9.6033800509278961E-5</v>
      </c>
      <c r="S583" s="3">
        <f t="shared" si="57"/>
        <v>0.20166357993763612</v>
      </c>
      <c r="T583" s="20">
        <f t="shared" si="58"/>
        <v>0.38413520203711582</v>
      </c>
      <c r="U583" s="20">
        <v>291.23741276636059</v>
      </c>
    </row>
    <row r="584" spans="15:21" x14ac:dyDescent="0.35">
      <c r="O584" s="18">
        <v>5</v>
      </c>
      <c r="P584" s="18">
        <f t="shared" si="56"/>
        <v>2910</v>
      </c>
      <c r="Q584" s="3">
        <f t="shared" si="59"/>
        <v>1.9161288637831045E-5</v>
      </c>
      <c r="R584" s="3">
        <f t="shared" si="55"/>
        <v>9.5806443189155226E-5</v>
      </c>
      <c r="S584" s="3">
        <f t="shared" si="57"/>
        <v>0.20175961373814538</v>
      </c>
      <c r="T584" s="20">
        <f t="shared" si="58"/>
        <v>0.38322577275662095</v>
      </c>
      <c r="U584" s="20">
        <v>291.23258267467185</v>
      </c>
    </row>
    <row r="585" spans="15:21" x14ac:dyDescent="0.35">
      <c r="O585" s="18">
        <v>5</v>
      </c>
      <c r="P585" s="18">
        <f t="shared" si="56"/>
        <v>2915</v>
      </c>
      <c r="Q585" s="3">
        <f t="shared" si="59"/>
        <v>1.9115959380187881E-5</v>
      </c>
      <c r="R585" s="3">
        <f t="shared" si="55"/>
        <v>9.5579796900939403E-5</v>
      </c>
      <c r="S585" s="3">
        <f t="shared" si="57"/>
        <v>0.20185542018133454</v>
      </c>
      <c r="T585" s="20">
        <f t="shared" si="58"/>
        <v>0.38231918760375766</v>
      </c>
      <c r="U585" s="20">
        <v>291.22776768387149</v>
      </c>
    </row>
    <row r="586" spans="15:21" x14ac:dyDescent="0.35">
      <c r="O586" s="18">
        <v>5</v>
      </c>
      <c r="P586" s="18">
        <f t="shared" si="56"/>
        <v>2920</v>
      </c>
      <c r="Q586" s="3">
        <f t="shared" si="59"/>
        <v>1.9070771707957159E-5</v>
      </c>
      <c r="R586" s="3">
        <f t="shared" si="55"/>
        <v>9.5353858539785793E-5</v>
      </c>
      <c r="S586" s="3">
        <f t="shared" si="57"/>
        <v>0.20195099997823548</v>
      </c>
      <c r="T586" s="20">
        <f t="shared" si="58"/>
        <v>0.38141543415914314</v>
      </c>
      <c r="U586" s="20">
        <v>291.22296771750848</v>
      </c>
    </row>
    <row r="587" spans="15:21" x14ac:dyDescent="0.35">
      <c r="O587" s="18">
        <v>5</v>
      </c>
      <c r="P587" s="18">
        <f t="shared" si="56"/>
        <v>2925</v>
      </c>
      <c r="Q587" s="3">
        <f t="shared" si="59"/>
        <v>1.9025725003853608E-5</v>
      </c>
      <c r="R587" s="3">
        <f t="shared" si="55"/>
        <v>9.5128625019268046E-5</v>
      </c>
      <c r="S587" s="3">
        <f t="shared" si="57"/>
        <v>0.20204635383677527</v>
      </c>
      <c r="T587" s="20">
        <f t="shared" si="58"/>
        <v>0.38051450007707222</v>
      </c>
      <c r="U587" s="20">
        <v>291.21818270883671</v>
      </c>
    </row>
    <row r="588" spans="15:21" x14ac:dyDescent="0.35">
      <c r="O588" s="18">
        <v>5</v>
      </c>
      <c r="P588" s="18">
        <f t="shared" si="56"/>
        <v>2930</v>
      </c>
      <c r="Q588" s="3">
        <f t="shared" si="59"/>
        <v>1.8980818654247875E-5</v>
      </c>
      <c r="R588" s="3">
        <f t="shared" si="55"/>
        <v>9.4904093271239376E-5</v>
      </c>
      <c r="S588" s="3">
        <f t="shared" si="57"/>
        <v>0.20214148246179453</v>
      </c>
      <c r="T588" s="20">
        <f t="shared" si="58"/>
        <v>0.37961637308495749</v>
      </c>
      <c r="U588" s="20">
        <v>291.2134126101152</v>
      </c>
    </row>
    <row r="589" spans="15:21" x14ac:dyDescent="0.35">
      <c r="O589" s="18">
        <v>5</v>
      </c>
      <c r="P589" s="18">
        <f t="shared" si="56"/>
        <v>2935</v>
      </c>
      <c r="Q589" s="3">
        <f t="shared" si="59"/>
        <v>1.8936052049138802E-5</v>
      </c>
      <c r="R589" s="3">
        <f t="shared" si="55"/>
        <v>9.4680260245694008E-5</v>
      </c>
      <c r="S589" s="3">
        <f t="shared" si="57"/>
        <v>0.20223638655506576</v>
      </c>
      <c r="T589" s="20">
        <f t="shared" si="58"/>
        <v>0.37872104098277604</v>
      </c>
      <c r="U589" s="20">
        <v>291.20865730758197</v>
      </c>
    </row>
    <row r="590" spans="15:21" x14ac:dyDescent="0.35">
      <c r="O590" s="18">
        <v>5</v>
      </c>
      <c r="P590" s="18">
        <f t="shared" si="56"/>
        <v>2940</v>
      </c>
      <c r="Q590" s="3">
        <f t="shared" si="59"/>
        <v>1.8891424582125987E-5</v>
      </c>
      <c r="R590" s="3">
        <f t="shared" si="55"/>
        <v>9.4457122910629937E-5</v>
      </c>
      <c r="S590" s="3">
        <f t="shared" si="57"/>
        <v>0.20233106681531146</v>
      </c>
      <c r="T590" s="20">
        <f t="shared" si="58"/>
        <v>0.37782849164251975</v>
      </c>
      <c r="U590" s="20">
        <v>291.20391678585588</v>
      </c>
    </row>
    <row r="591" spans="15:21" x14ac:dyDescent="0.35">
      <c r="O591" s="18">
        <v>5</v>
      </c>
      <c r="P591" s="18">
        <f t="shared" si="56"/>
        <v>2945</v>
      </c>
      <c r="Q591" s="3">
        <f t="shared" si="59"/>
        <v>1.8846935650382617E-5</v>
      </c>
      <c r="R591" s="3">
        <f t="shared" si="55"/>
        <v>9.4234678251913081E-5</v>
      </c>
      <c r="S591" s="3">
        <f t="shared" si="57"/>
        <v>0.20242552393822208</v>
      </c>
      <c r="T591" s="20">
        <f t="shared" si="58"/>
        <v>0.3769387130076523</v>
      </c>
      <c r="U591" s="20">
        <v>291.19919096877464</v>
      </c>
    </row>
    <row r="592" spans="15:21" x14ac:dyDescent="0.35">
      <c r="O592" s="18">
        <v>5</v>
      </c>
      <c r="P592" s="18">
        <f t="shared" si="56"/>
        <v>2950</v>
      </c>
      <c r="Q592" s="3">
        <f t="shared" si="59"/>
        <v>1.8802584654628456E-5</v>
      </c>
      <c r="R592" s="3">
        <f t="shared" si="55"/>
        <v>9.4012923273142273E-5</v>
      </c>
      <c r="S592" s="3">
        <f t="shared" si="57"/>
        <v>0.202519758616474</v>
      </c>
      <c r="T592" s="20">
        <f t="shared" si="58"/>
        <v>0.37605169309256908</v>
      </c>
      <c r="U592" s="20">
        <v>291.19447979825696</v>
      </c>
    </row>
    <row r="593" spans="15:21" x14ac:dyDescent="0.35">
      <c r="O593" s="18">
        <v>5</v>
      </c>
      <c r="P593" s="18">
        <f t="shared" si="56"/>
        <v>2955</v>
      </c>
      <c r="Q593" s="3">
        <f t="shared" si="59"/>
        <v>1.8758370999103237E-5</v>
      </c>
      <c r="R593" s="3">
        <f t="shared" si="55"/>
        <v>9.3791854995516183E-5</v>
      </c>
      <c r="S593" s="3">
        <f t="shared" si="57"/>
        <v>0.20261377153974713</v>
      </c>
      <c r="T593" s="20">
        <f t="shared" si="58"/>
        <v>0.37516741998206471</v>
      </c>
      <c r="U593" s="20">
        <v>291.18978317079996</v>
      </c>
    </row>
    <row r="594" spans="15:21" x14ac:dyDescent="0.35">
      <c r="O594" s="18">
        <v>5</v>
      </c>
      <c r="P594" s="18">
        <f t="shared" si="56"/>
        <v>2960</v>
      </c>
      <c r="Q594" s="3">
        <f t="shared" si="59"/>
        <v>1.8714294091540109E-5</v>
      </c>
      <c r="R594" s="3">
        <f t="shared" si="55"/>
        <v>9.357147045770055E-5</v>
      </c>
      <c r="S594" s="3">
        <f t="shared" si="57"/>
        <v>0.20270756339474266</v>
      </c>
      <c r="T594" s="20">
        <f t="shared" si="58"/>
        <v>0.37428588183080219</v>
      </c>
      <c r="U594" s="20">
        <v>291.18510107220283</v>
      </c>
    </row>
    <row r="595" spans="15:21" x14ac:dyDescent="0.35">
      <c r="O595" s="18">
        <v>5</v>
      </c>
      <c r="P595" s="18">
        <f t="shared" si="56"/>
        <v>2965</v>
      </c>
      <c r="Q595" s="3">
        <f t="shared" si="59"/>
        <v>1.8670353343139533E-5</v>
      </c>
      <c r="R595" s="3">
        <f t="shared" si="55"/>
        <v>9.3351766715697666E-5</v>
      </c>
      <c r="S595" s="3">
        <f t="shared" si="57"/>
        <v>0.20280113486520035</v>
      </c>
      <c r="T595" s="20">
        <f t="shared" si="58"/>
        <v>0.37340706686279063</v>
      </c>
      <c r="U595" s="20">
        <v>291.18043342177657</v>
      </c>
    </row>
    <row r="596" spans="15:21" x14ac:dyDescent="0.35">
      <c r="O596" s="18">
        <v>5</v>
      </c>
      <c r="P596" s="18">
        <f t="shared" si="56"/>
        <v>2970</v>
      </c>
      <c r="Q596" s="3">
        <f t="shared" si="59"/>
        <v>1.8626548168543205E-5</v>
      </c>
      <c r="R596" s="3">
        <f t="shared" si="55"/>
        <v>9.3132740842716033E-5</v>
      </c>
      <c r="S596" s="3">
        <f t="shared" si="57"/>
        <v>0.20289448663191606</v>
      </c>
      <c r="T596" s="20">
        <f t="shared" si="58"/>
        <v>0.37253096337086411</v>
      </c>
      <c r="U596" s="20">
        <v>291.17578016544087</v>
      </c>
    </row>
    <row r="597" spans="15:21" x14ac:dyDescent="0.35">
      <c r="O597" s="18">
        <v>5</v>
      </c>
      <c r="P597" s="18">
        <f t="shared" si="56"/>
        <v>2975</v>
      </c>
      <c r="Q597" s="3">
        <f t="shared" si="59"/>
        <v>1.8582877985808421E-5</v>
      </c>
      <c r="R597" s="3">
        <f t="shared" si="55"/>
        <v>9.2914389929042111E-5</v>
      </c>
      <c r="S597" s="3">
        <f t="shared" si="57"/>
        <v>0.20298761937275878</v>
      </c>
      <c r="T597" s="20">
        <f t="shared" si="58"/>
        <v>0.37165755971616848</v>
      </c>
      <c r="U597" s="20">
        <v>291.17114123762275</v>
      </c>
    </row>
    <row r="598" spans="15:21" x14ac:dyDescent="0.35">
      <c r="O598" s="18">
        <v>5</v>
      </c>
      <c r="P598" s="18">
        <f t="shared" si="56"/>
        <v>2980</v>
      </c>
      <c r="Q598" s="3">
        <f t="shared" si="59"/>
        <v>1.85393422163825E-5</v>
      </c>
      <c r="R598" s="3">
        <f t="shared" si="55"/>
        <v>9.2696711081912504E-5</v>
      </c>
      <c r="S598" s="3">
        <f t="shared" si="57"/>
        <v>0.20308053376268781</v>
      </c>
      <c r="T598" s="20">
        <f t="shared" si="58"/>
        <v>0.37078684432764997</v>
      </c>
      <c r="U598" s="20">
        <v>291.16651654658369</v>
      </c>
    </row>
    <row r="599" spans="15:21" x14ac:dyDescent="0.35">
      <c r="O599" s="18">
        <v>5</v>
      </c>
      <c r="P599" s="18">
        <f t="shared" si="56"/>
        <v>2985</v>
      </c>
      <c r="Q599" s="3">
        <f t="shared" si="59"/>
        <v>1.8495940285077561E-5</v>
      </c>
      <c r="R599" s="3">
        <f t="shared" si="55"/>
        <v>9.2479701425387804E-5</v>
      </c>
      <c r="S599" s="3">
        <f t="shared" si="57"/>
        <v>0.20317323047376973</v>
      </c>
      <c r="T599" s="20">
        <f t="shared" si="58"/>
        <v>0.36991880570155122</v>
      </c>
      <c r="U599" s="20">
        <v>291.16190607387051</v>
      </c>
    </row>
    <row r="600" spans="15:21" x14ac:dyDescent="0.35">
      <c r="O600" s="18">
        <v>5</v>
      </c>
      <c r="P600" s="18">
        <f t="shared" si="56"/>
        <v>2990</v>
      </c>
      <c r="Q600" s="3">
        <f t="shared" si="59"/>
        <v>1.8452671620045469E-5</v>
      </c>
      <c r="R600" s="3">
        <f t="shared" si="55"/>
        <v>9.2263358100227349E-5</v>
      </c>
      <c r="S600" s="3">
        <f t="shared" si="57"/>
        <v>0.20326571017519512</v>
      </c>
      <c r="T600" s="20">
        <f t="shared" si="58"/>
        <v>0.36905343240090938</v>
      </c>
      <c r="U600" s="20">
        <v>291.15730974725852</v>
      </c>
    </row>
    <row r="601" spans="15:21" x14ac:dyDescent="0.35">
      <c r="O601" s="18">
        <v>5</v>
      </c>
      <c r="P601" s="18">
        <f t="shared" si="56"/>
        <v>2995</v>
      </c>
      <c r="Q601" s="3">
        <f t="shared" si="59"/>
        <v>1.8409535652753038E-5</v>
      </c>
      <c r="R601" s="3">
        <f t="shared" si="55"/>
        <v>9.2047678263765188E-5</v>
      </c>
      <c r="S601" s="3">
        <f t="shared" si="57"/>
        <v>0.20335797353329535</v>
      </c>
      <c r="T601" s="20">
        <f t="shared" si="58"/>
        <v>0.36819071305506074</v>
      </c>
      <c r="U601" s="20">
        <v>291.15272750537309</v>
      </c>
    </row>
    <row r="602" spans="15:21" x14ac:dyDescent="0.35">
      <c r="O602" s="18">
        <v>5</v>
      </c>
      <c r="P602" s="18">
        <f t="shared" si="56"/>
        <v>3000</v>
      </c>
      <c r="Q602" s="3">
        <f t="shared" si="59"/>
        <v>1.8366531817957426E-5</v>
      </c>
      <c r="R602" s="3">
        <f t="shared" si="55"/>
        <v>9.1832659089787126E-5</v>
      </c>
      <c r="S602" s="3">
        <f t="shared" si="57"/>
        <v>0.20345002121155911</v>
      </c>
      <c r="T602" s="20">
        <f t="shared" si="58"/>
        <v>0.36733063635914848</v>
      </c>
      <c r="U602" s="20">
        <v>291.14815927078951</v>
      </c>
    </row>
    <row r="603" spans="15:21" x14ac:dyDescent="0.35">
      <c r="O603" s="18">
        <v>5</v>
      </c>
      <c r="P603" s="18">
        <f t="shared" si="56"/>
        <v>3005</v>
      </c>
      <c r="Q603" s="3">
        <f t="shared" si="59"/>
        <v>1.8323659553681778E-5</v>
      </c>
      <c r="R603" s="3">
        <f t="shared" si="55"/>
        <v>9.1618297768408891E-5</v>
      </c>
      <c r="S603" s="3">
        <f t="shared" si="57"/>
        <v>0.20354185387064891</v>
      </c>
      <c r="T603" s="20">
        <f t="shared" si="58"/>
        <v>0.36647319107363557</v>
      </c>
      <c r="U603" s="20">
        <v>291.14360501010225</v>
      </c>
    </row>
    <row r="604" spans="15:21" x14ac:dyDescent="0.35">
      <c r="O604" s="18">
        <v>5</v>
      </c>
      <c r="P604" s="18">
        <f t="shared" si="56"/>
        <v>3010</v>
      </c>
      <c r="Q604" s="3">
        <f t="shared" si="59"/>
        <v>1.8280918301191102E-5</v>
      </c>
      <c r="R604" s="3">
        <f t="shared" si="55"/>
        <v>9.1404591505955511E-5</v>
      </c>
      <c r="S604" s="3">
        <f t="shared" si="57"/>
        <v>0.20363347216841732</v>
      </c>
      <c r="T604" s="20">
        <f t="shared" si="58"/>
        <v>0.36561836602382208</v>
      </c>
      <c r="U604" s="20">
        <v>291.13906464763181</v>
      </c>
    </row>
    <row r="605" spans="15:21" x14ac:dyDescent="0.35">
      <c r="O605" s="18">
        <v>5</v>
      </c>
      <c r="P605" s="18">
        <f t="shared" si="56"/>
        <v>3015</v>
      </c>
      <c r="Q605" s="3">
        <f t="shared" si="59"/>
        <v>1.8238307504968318E-5</v>
      </c>
      <c r="R605" s="3">
        <f t="shared" si="55"/>
        <v>9.1191537524841588E-5</v>
      </c>
      <c r="S605" s="3">
        <f t="shared" si="57"/>
        <v>0.20372487675992326</v>
      </c>
      <c r="T605" s="20">
        <f t="shared" si="58"/>
        <v>0.36476615009936636</v>
      </c>
      <c r="U605" s="20">
        <v>291.13453813188818</v>
      </c>
    </row>
    <row r="606" spans="15:21" x14ac:dyDescent="0.35">
      <c r="O606" s="18">
        <v>5</v>
      </c>
      <c r="P606" s="18">
        <f t="shared" si="56"/>
        <v>3020</v>
      </c>
      <c r="Q606" s="3">
        <f t="shared" si="59"/>
        <v>1.8195826612690536E-5</v>
      </c>
      <c r="R606" s="3">
        <f t="shared" si="55"/>
        <v>9.0979133063452683E-5</v>
      </c>
      <c r="S606" s="3">
        <f t="shared" si="57"/>
        <v>0.20381606829744811</v>
      </c>
      <c r="T606" s="20">
        <f t="shared" si="58"/>
        <v>0.36391653225381071</v>
      </c>
      <c r="U606" s="20">
        <v>291.13002540124205</v>
      </c>
    </row>
    <row r="607" spans="15:21" x14ac:dyDescent="0.35">
      <c r="O607" s="18">
        <v>5</v>
      </c>
      <c r="P607" s="18">
        <f t="shared" si="56"/>
        <v>3025</v>
      </c>
      <c r="Q607" s="3">
        <f t="shared" si="59"/>
        <v>1.8153475075205612E-5</v>
      </c>
      <c r="R607" s="3">
        <f t="shared" si="55"/>
        <v>9.0767375376028065E-5</v>
      </c>
      <c r="S607" s="3">
        <f t="shared" si="57"/>
        <v>0.20390704743051155</v>
      </c>
      <c r="T607" s="20">
        <f t="shared" si="58"/>
        <v>0.36306950150411221</v>
      </c>
      <c r="U607" s="20">
        <v>291.12552639851486</v>
      </c>
    </row>
    <row r="608" spans="15:21" x14ac:dyDescent="0.35">
      <c r="O608" s="18">
        <v>5</v>
      </c>
      <c r="P608" s="18">
        <f t="shared" si="56"/>
        <v>3030</v>
      </c>
      <c r="Q608" s="3">
        <f t="shared" si="59"/>
        <v>1.8111252346508798E-5</v>
      </c>
      <c r="R608" s="3">
        <f t="shared" si="55"/>
        <v>9.0556261732543995E-5</v>
      </c>
      <c r="S608" s="3">
        <f t="shared" si="57"/>
        <v>0.20399781480588758</v>
      </c>
      <c r="T608" s="20">
        <f t="shared" si="58"/>
        <v>0.36222504693017593</v>
      </c>
      <c r="U608" s="20">
        <v>291.12104106613134</v>
      </c>
    </row>
    <row r="609" spans="15:21" x14ac:dyDescent="0.35">
      <c r="O609" s="18">
        <v>5</v>
      </c>
      <c r="P609" s="18">
        <f t="shared" si="56"/>
        <v>3035</v>
      </c>
      <c r="Q609" s="3">
        <f t="shared" si="59"/>
        <v>1.8069157883719695E-5</v>
      </c>
      <c r="R609" s="3">
        <f t="shared" si="55"/>
        <v>9.0345789418598473E-5</v>
      </c>
      <c r="S609" s="3">
        <f t="shared" si="57"/>
        <v>0.20408837106762012</v>
      </c>
      <c r="T609" s="20">
        <f t="shared" si="58"/>
        <v>0.36138315767439388</v>
      </c>
      <c r="U609" s="20">
        <v>291.11656935310896</v>
      </c>
    </row>
    <row r="610" spans="15:21" x14ac:dyDescent="0.35">
      <c r="O610" s="18">
        <v>5</v>
      </c>
      <c r="P610" s="18">
        <f t="shared" si="56"/>
        <v>3040</v>
      </c>
      <c r="Q610" s="3">
        <f t="shared" si="59"/>
        <v>1.8027191147059388E-5</v>
      </c>
      <c r="R610" s="3">
        <f t="shared" si="55"/>
        <v>9.0135955735296937E-5</v>
      </c>
      <c r="S610" s="3">
        <f t="shared" si="57"/>
        <v>0.20417871685703873</v>
      </c>
      <c r="T610" s="20">
        <f t="shared" si="58"/>
        <v>0.36054382294118775</v>
      </c>
      <c r="U610" s="20">
        <v>291.11211118411939</v>
      </c>
    </row>
    <row r="611" spans="15:21" x14ac:dyDescent="0.35">
      <c r="O611" s="18">
        <v>5</v>
      </c>
      <c r="P611" s="18">
        <f t="shared" si="56"/>
        <v>3045</v>
      </c>
      <c r="Q611" s="3">
        <f t="shared" si="59"/>
        <v>1.7985351599827762E-5</v>
      </c>
      <c r="R611" s="3">
        <f t="shared" si="55"/>
        <v>8.9926757999138818E-5</v>
      </c>
      <c r="S611" s="3">
        <f t="shared" si="57"/>
        <v>0.20426885281277402</v>
      </c>
      <c r="T611" s="20">
        <f t="shared" si="58"/>
        <v>0.35970703199655524</v>
      </c>
      <c r="U611" s="20">
        <v>291.10766651233001</v>
      </c>
    </row>
    <row r="612" spans="15:21" x14ac:dyDescent="0.35">
      <c r="O612" s="18">
        <v>5</v>
      </c>
      <c r="P612" s="18">
        <f t="shared" si="56"/>
        <v>3050</v>
      </c>
      <c r="Q612" s="3">
        <f t="shared" si="59"/>
        <v>1.7943638708381026E-5</v>
      </c>
      <c r="R612" s="3">
        <f t="shared" si="55"/>
        <v>8.9718193541905129E-5</v>
      </c>
      <c r="S612" s="3">
        <f t="shared" si="57"/>
        <v>0.20435877957077314</v>
      </c>
      <c r="T612" s="20">
        <f t="shared" si="58"/>
        <v>0.35887277416762048</v>
      </c>
      <c r="U612" s="20">
        <v>291.10323529376979</v>
      </c>
    </row>
    <row r="613" spans="15:21" x14ac:dyDescent="0.35">
      <c r="O613" s="18">
        <v>5</v>
      </c>
      <c r="P613" s="18">
        <f t="shared" si="56"/>
        <v>3055</v>
      </c>
      <c r="Q613" s="3">
        <f t="shared" si="59"/>
        <v>1.7902051942109467E-5</v>
      </c>
      <c r="R613" s="3">
        <f t="shared" si="55"/>
        <v>8.9510259710547341E-5</v>
      </c>
      <c r="S613" s="3">
        <f t="shared" si="57"/>
        <v>0.20444849776431503</v>
      </c>
      <c r="T613" s="20">
        <f t="shared" si="58"/>
        <v>0.3580410388421893</v>
      </c>
      <c r="U613" s="20">
        <v>291.09881744972955</v>
      </c>
    </row>
    <row r="614" spans="15:21" x14ac:dyDescent="0.35">
      <c r="O614" s="18">
        <v>5</v>
      </c>
      <c r="P614" s="18">
        <f t="shared" si="56"/>
        <v>3060</v>
      </c>
      <c r="Q614" s="3">
        <f t="shared" si="59"/>
        <v>1.7860590773415368E-5</v>
      </c>
      <c r="R614" s="3">
        <f t="shared" si="55"/>
        <v>8.9302953867076844E-5</v>
      </c>
      <c r="S614" s="3">
        <f t="shared" si="57"/>
        <v>0.20453800802402558</v>
      </c>
      <c r="T614" s="20">
        <f t="shared" si="58"/>
        <v>0.35721181546830733</v>
      </c>
      <c r="U614" s="20">
        <v>291.09441295126362</v>
      </c>
    </row>
    <row r="615" spans="15:21" x14ac:dyDescent="0.35">
      <c r="O615" s="18">
        <v>5</v>
      </c>
      <c r="P615" s="18">
        <f t="shared" si="56"/>
        <v>3065</v>
      </c>
      <c r="Q615" s="3">
        <f t="shared" si="59"/>
        <v>1.781925467769114E-5</v>
      </c>
      <c r="R615" s="3">
        <f t="shared" si="55"/>
        <v>8.9096273388455702E-5</v>
      </c>
      <c r="S615" s="3">
        <f t="shared" si="57"/>
        <v>0.20462731097789266</v>
      </c>
      <c r="T615" s="20">
        <f t="shared" si="58"/>
        <v>0.35638509355382281</v>
      </c>
      <c r="U615" s="20">
        <v>291.0900217028813</v>
      </c>
    </row>
    <row r="616" spans="15:21" x14ac:dyDescent="0.35">
      <c r="O616" s="18">
        <v>5</v>
      </c>
      <c r="P616" s="18">
        <f t="shared" si="56"/>
        <v>3070</v>
      </c>
      <c r="Q616" s="3">
        <f t="shared" si="59"/>
        <v>1.7778043133297638E-5</v>
      </c>
      <c r="R616" s="3">
        <f t="shared" si="55"/>
        <v>8.8890215666488192E-5</v>
      </c>
      <c r="S616" s="3">
        <f t="shared" si="57"/>
        <v>0.20471640725128112</v>
      </c>
      <c r="T616" s="20">
        <f t="shared" si="58"/>
        <v>0.35556086266595277</v>
      </c>
      <c r="U616" s="20">
        <v>291.08564367512236</v>
      </c>
    </row>
    <row r="617" spans="15:21" x14ac:dyDescent="0.35">
      <c r="O617" s="18">
        <v>5</v>
      </c>
      <c r="P617" s="18">
        <f t="shared" si="56"/>
        <v>3075</v>
      </c>
      <c r="Q617" s="3">
        <f t="shared" si="59"/>
        <v>1.773695562154269E-5</v>
      </c>
      <c r="R617" s="3">
        <f t="shared" si="55"/>
        <v>8.8684778107713454E-5</v>
      </c>
      <c r="S617" s="3">
        <f t="shared" si="57"/>
        <v>0.20480529746694762</v>
      </c>
      <c r="T617" s="20">
        <f t="shared" si="58"/>
        <v>0.35473911243085376</v>
      </c>
      <c r="U617" s="20">
        <v>291.08127881876362</v>
      </c>
    </row>
    <row r="618" spans="15:21" x14ac:dyDescent="0.35">
      <c r="O618" s="18">
        <v>5</v>
      </c>
      <c r="P618" s="18">
        <f t="shared" si="56"/>
        <v>3080</v>
      </c>
      <c r="Q618" s="3">
        <f t="shared" si="59"/>
        <v>1.7695991626659765E-5</v>
      </c>
      <c r="R618" s="3">
        <f t="shared" si="55"/>
        <v>8.8479958133298834E-5</v>
      </c>
      <c r="S618" s="3">
        <f t="shared" si="57"/>
        <v>0.20489398224505534</v>
      </c>
      <c r="T618" s="20">
        <f t="shared" si="58"/>
        <v>0.35391983253319531</v>
      </c>
      <c r="U618" s="20">
        <v>291.07692708243707</v>
      </c>
    </row>
    <row r="619" spans="15:21" x14ac:dyDescent="0.35">
      <c r="O619" s="18">
        <v>5</v>
      </c>
      <c r="P619" s="18">
        <f t="shared" si="56"/>
        <v>3085</v>
      </c>
      <c r="Q619" s="3">
        <f t="shared" si="59"/>
        <v>1.7655150635786891E-5</v>
      </c>
      <c r="R619" s="3">
        <f t="shared" si="55"/>
        <v>8.8275753178934454E-5</v>
      </c>
      <c r="S619" s="3">
        <f t="shared" si="57"/>
        <v>0.20498246220318864</v>
      </c>
      <c r="T619" s="20">
        <f t="shared" si="58"/>
        <v>0.3531030127157378</v>
      </c>
      <c r="U619" s="20">
        <v>291.07258837803533</v>
      </c>
    </row>
    <row r="620" spans="15:21" x14ac:dyDescent="0.35">
      <c r="O620" s="18">
        <v>5</v>
      </c>
      <c r="P620" s="18">
        <f t="shared" si="56"/>
        <v>3090</v>
      </c>
      <c r="Q620" s="3">
        <f t="shared" si="59"/>
        <v>1.7614432138945705E-5</v>
      </c>
      <c r="R620" s="3">
        <f t="shared" si="55"/>
        <v>8.8072160694728526E-5</v>
      </c>
      <c r="S620" s="3">
        <f t="shared" si="57"/>
        <v>0.20507073795636757</v>
      </c>
      <c r="T620" s="20">
        <f t="shared" si="58"/>
        <v>0.35228864277891409</v>
      </c>
      <c r="U620" s="20">
        <v>291.0682626973533</v>
      </c>
    </row>
    <row r="621" spans="15:21" x14ac:dyDescent="0.35">
      <c r="O621" s="18">
        <v>5</v>
      </c>
      <c r="P621" s="18">
        <f t="shared" si="56"/>
        <v>3095</v>
      </c>
      <c r="Q621" s="3">
        <f t="shared" si="59"/>
        <v>1.7573835629020738E-5</v>
      </c>
      <c r="R621" s="3">
        <f t="shared" si="55"/>
        <v>8.7869178145103685E-5</v>
      </c>
      <c r="S621" s="3">
        <f t="shared" si="57"/>
        <v>0.2051588101170623</v>
      </c>
      <c r="T621" s="20">
        <f t="shared" si="58"/>
        <v>0.35147671258041474</v>
      </c>
      <c r="U621" s="20">
        <v>291.0639499393024</v>
      </c>
    </row>
    <row r="622" spans="15:21" x14ac:dyDescent="0.35">
      <c r="O622" s="18">
        <v>5</v>
      </c>
      <c r="P622" s="18">
        <f t="shared" si="56"/>
        <v>3100</v>
      </c>
      <c r="Q622" s="3">
        <f t="shared" si="59"/>
        <v>1.7533360601738831E-5</v>
      </c>
      <c r="R622" s="3">
        <f t="shared" si="55"/>
        <v>8.766680300869415E-5</v>
      </c>
      <c r="S622" s="3">
        <f t="shared" si="57"/>
        <v>0.2052466792952074</v>
      </c>
      <c r="T622" s="20">
        <f t="shared" si="58"/>
        <v>0.35066721203477658</v>
      </c>
      <c r="U622" s="20">
        <v>291.05965008986186</v>
      </c>
    </row>
    <row r="623" spans="15:21" x14ac:dyDescent="0.35">
      <c r="O623" s="18">
        <v>5</v>
      </c>
      <c r="P623" s="18">
        <f t="shared" si="56"/>
        <v>3105</v>
      </c>
      <c r="Q623" s="3">
        <f t="shared" si="59"/>
        <v>1.7493006555648768E-5</v>
      </c>
      <c r="R623" s="3">
        <f t="shared" si="55"/>
        <v>8.7465032778243841E-5</v>
      </c>
      <c r="S623" s="3">
        <f t="shared" si="57"/>
        <v>0.2053343460982161</v>
      </c>
      <c r="T623" s="20">
        <f t="shared" si="58"/>
        <v>0.34986013111297537</v>
      </c>
      <c r="U623" s="20">
        <v>291.05536307692762</v>
      </c>
    </row>
    <row r="624" spans="15:21" x14ac:dyDescent="0.35">
      <c r="O624" s="18">
        <v>5</v>
      </c>
      <c r="P624" s="18">
        <f t="shared" si="56"/>
        <v>3110</v>
      </c>
      <c r="Q624" s="3">
        <f t="shared" si="59"/>
        <v>1.7452772992101085E-5</v>
      </c>
      <c r="R624" s="3">
        <f t="shared" si="55"/>
        <v>8.7263864960505423E-5</v>
      </c>
      <c r="S624" s="3">
        <f t="shared" si="57"/>
        <v>0.20542181113099434</v>
      </c>
      <c r="T624" s="20">
        <f t="shared" si="58"/>
        <v>0.34905545984202169</v>
      </c>
      <c r="U624" s="20">
        <v>291.05108884802405</v>
      </c>
    </row>
    <row r="625" spans="15:21" x14ac:dyDescent="0.35">
      <c r="O625" s="18">
        <v>5</v>
      </c>
      <c r="P625" s="18">
        <f t="shared" si="56"/>
        <v>3115</v>
      </c>
      <c r="Q625" s="3">
        <f t="shared" si="59"/>
        <v>1.741265941522801E-5</v>
      </c>
      <c r="R625" s="3">
        <f t="shared" si="55"/>
        <v>8.7063297076140045E-5</v>
      </c>
      <c r="S625" s="3">
        <f t="shared" si="57"/>
        <v>0.20550907499595483</v>
      </c>
      <c r="T625" s="20">
        <f t="shared" si="58"/>
        <v>0.3482531883045602</v>
      </c>
      <c r="U625" s="20">
        <v>291.04682735918277</v>
      </c>
    </row>
    <row r="626" spans="15:21" x14ac:dyDescent="0.35">
      <c r="O626" s="18">
        <v>5</v>
      </c>
      <c r="P626" s="18">
        <f t="shared" si="56"/>
        <v>3120</v>
      </c>
      <c r="Q626" s="3">
        <f t="shared" si="59"/>
        <v>1.7372665331923638E-5</v>
      </c>
      <c r="R626" s="3">
        <f t="shared" si="55"/>
        <v>8.686332665961819E-5</v>
      </c>
      <c r="S626" s="3">
        <f t="shared" si="57"/>
        <v>0.20559613829303097</v>
      </c>
      <c r="T626" s="20">
        <f t="shared" si="58"/>
        <v>0.34745330663847274</v>
      </c>
      <c r="U626" s="20">
        <v>291.04257854928005</v>
      </c>
    </row>
    <row r="627" spans="15:21" x14ac:dyDescent="0.35">
      <c r="O627" s="18">
        <v>5</v>
      </c>
      <c r="P627" s="18">
        <f t="shared" si="56"/>
        <v>3125</v>
      </c>
      <c r="Q627" s="3">
        <f t="shared" si="59"/>
        <v>1.7332790251824254E-5</v>
      </c>
      <c r="R627" s="3">
        <f t="shared" si="55"/>
        <v>8.6663951259121272E-5</v>
      </c>
      <c r="S627" s="3">
        <f t="shared" si="57"/>
        <v>0.20568300161969058</v>
      </c>
      <c r="T627" s="20">
        <f t="shared" si="58"/>
        <v>0.34665580503648508</v>
      </c>
      <c r="U627" s="20">
        <v>291.03834238208123</v>
      </c>
    </row>
    <row r="628" spans="15:21" x14ac:dyDescent="0.35">
      <c r="O628" s="18">
        <v>5</v>
      </c>
      <c r="P628" s="18">
        <f t="shared" si="56"/>
        <v>3130</v>
      </c>
      <c r="Q628" s="3">
        <f t="shared" si="59"/>
        <v>1.7293033687288814E-5</v>
      </c>
      <c r="R628" s="3">
        <f t="shared" si="55"/>
        <v>8.6465168436444066E-5</v>
      </c>
      <c r="S628" s="3">
        <f t="shared" si="57"/>
        <v>0.20576966557094969</v>
      </c>
      <c r="T628" s="20">
        <f t="shared" si="58"/>
        <v>0.34586067374577628</v>
      </c>
      <c r="U628" s="20">
        <v>291.03411877324061</v>
      </c>
    </row>
    <row r="629" spans="15:21" x14ac:dyDescent="0.35">
      <c r="O629" s="18">
        <v>5</v>
      </c>
      <c r="P629" s="18">
        <f t="shared" si="56"/>
        <v>3135</v>
      </c>
      <c r="Q629" s="3">
        <f t="shared" si="59"/>
        <v>1.7253395153379604E-5</v>
      </c>
      <c r="R629" s="3">
        <f t="shared" si="55"/>
        <v>8.6266975766898017E-5</v>
      </c>
      <c r="S629" s="3">
        <f t="shared" si="57"/>
        <v>0.20585613073938613</v>
      </c>
      <c r="T629" s="20">
        <f t="shared" si="58"/>
        <v>0.34506790306759205</v>
      </c>
      <c r="U629" s="20">
        <v>291.02990770834322</v>
      </c>
    </row>
    <row r="630" spans="15:21" x14ac:dyDescent="0.35">
      <c r="O630" s="18">
        <v>5</v>
      </c>
      <c r="P630" s="18">
        <f t="shared" si="56"/>
        <v>3140</v>
      </c>
      <c r="Q630" s="3">
        <f t="shared" si="59"/>
        <v>1.7213874167843085E-5</v>
      </c>
      <c r="R630" s="3">
        <f t="shared" si="55"/>
        <v>8.6069370839215434E-5</v>
      </c>
      <c r="S630" s="3">
        <f t="shared" si="57"/>
        <v>0.20594239771515302</v>
      </c>
      <c r="T630" s="20">
        <f t="shared" si="58"/>
        <v>0.3442774833568617</v>
      </c>
      <c r="U630" s="20">
        <v>291.0257091102128</v>
      </c>
    </row>
    <row r="631" spans="15:21" x14ac:dyDescent="0.35">
      <c r="O631" s="18">
        <v>5</v>
      </c>
      <c r="P631" s="18">
        <f t="shared" si="56"/>
        <v>3145</v>
      </c>
      <c r="Q631" s="3">
        <f t="shared" si="59"/>
        <v>1.7174470251090873E-5</v>
      </c>
      <c r="R631" s="3">
        <f t="shared" si="55"/>
        <v>8.5872351255454363E-5</v>
      </c>
      <c r="S631" s="3">
        <f t="shared" si="57"/>
        <v>0.20602846708599223</v>
      </c>
      <c r="T631" s="20">
        <f t="shared" si="58"/>
        <v>0.34348940502181746</v>
      </c>
      <c r="U631" s="20">
        <v>291.02152292219228</v>
      </c>
    </row>
    <row r="632" spans="15:21" x14ac:dyDescent="0.35">
      <c r="O632" s="18">
        <v>5</v>
      </c>
      <c r="P632" s="18">
        <f t="shared" si="56"/>
        <v>3150</v>
      </c>
      <c r="Q632" s="3">
        <f t="shared" si="59"/>
        <v>1.7135182926180908E-5</v>
      </c>
      <c r="R632" s="3">
        <f t="shared" si="55"/>
        <v>8.5675914630904538E-5</v>
      </c>
      <c r="S632" s="3">
        <f t="shared" si="57"/>
        <v>0.20611433943724769</v>
      </c>
      <c r="T632" s="20">
        <f t="shared" si="58"/>
        <v>0.34270365852361812</v>
      </c>
      <c r="U632" s="20">
        <v>291.01734913294246</v>
      </c>
    </row>
    <row r="633" spans="15:21" x14ac:dyDescent="0.35">
      <c r="O633" s="18">
        <v>5</v>
      </c>
      <c r="P633" s="18">
        <f t="shared" si="56"/>
        <v>3155</v>
      </c>
      <c r="Q633" s="3">
        <f t="shared" si="59"/>
        <v>1.7096011718798753E-5</v>
      </c>
      <c r="R633" s="3">
        <f t="shared" si="55"/>
        <v>8.5480058593993767E-5</v>
      </c>
      <c r="S633" s="3">
        <f t="shared" si="57"/>
        <v>0.2062000153518786</v>
      </c>
      <c r="T633" s="20">
        <f t="shared" si="58"/>
        <v>0.34192023437597502</v>
      </c>
      <c r="U633" s="20">
        <v>291.01318765285725</v>
      </c>
    </row>
    <row r="634" spans="15:21" x14ac:dyDescent="0.35">
      <c r="O634" s="18">
        <v>5</v>
      </c>
      <c r="P634" s="18">
        <f t="shared" si="56"/>
        <v>3160</v>
      </c>
      <c r="Q634" s="3">
        <f t="shared" si="59"/>
        <v>1.7056956157239116E-5</v>
      </c>
      <c r="R634" s="3">
        <f t="shared" si="55"/>
        <v>8.5284780786195577E-5</v>
      </c>
      <c r="S634" s="3">
        <f t="shared" si="57"/>
        <v>0.20628549541047259</v>
      </c>
      <c r="T634" s="20">
        <f t="shared" si="58"/>
        <v>0.34113912314478229</v>
      </c>
      <c r="U634" s="20">
        <v>291.00903846009101</v>
      </c>
    </row>
    <row r="635" spans="15:21" x14ac:dyDescent="0.35">
      <c r="O635" s="18">
        <v>5</v>
      </c>
      <c r="P635" s="18">
        <f t="shared" si="56"/>
        <v>3165</v>
      </c>
      <c r="Q635" s="3">
        <f t="shared" si="59"/>
        <v>1.7018015772387447E-5</v>
      </c>
      <c r="R635" s="3">
        <f t="shared" si="55"/>
        <v>8.5090078861937231E-5</v>
      </c>
      <c r="S635" s="3">
        <f t="shared" si="57"/>
        <v>0.20637078019125879</v>
      </c>
      <c r="T635" s="20">
        <f t="shared" si="58"/>
        <v>0.34036031544774892</v>
      </c>
      <c r="U635" s="20">
        <v>291.00490147800093</v>
      </c>
    </row>
    <row r="636" spans="15:21" x14ac:dyDescent="0.35">
      <c r="O636" s="18">
        <v>5</v>
      </c>
      <c r="P636" s="18">
        <f t="shared" si="56"/>
        <v>3170</v>
      </c>
      <c r="Q636" s="3">
        <f t="shared" si="59"/>
        <v>1.6979190097701772E-5</v>
      </c>
      <c r="R636" s="3">
        <f t="shared" si="55"/>
        <v>8.4895950488508856E-5</v>
      </c>
      <c r="S636" s="3">
        <f t="shared" si="57"/>
        <v>0.20645587027012072</v>
      </c>
      <c r="T636" s="20">
        <f t="shared" si="58"/>
        <v>0.33958380195403542</v>
      </c>
      <c r="U636" s="20">
        <v>291.00077667853634</v>
      </c>
    </row>
    <row r="637" spans="15:21" x14ac:dyDescent="0.35">
      <c r="O637" s="18">
        <v>5</v>
      </c>
      <c r="P637" s="18">
        <f t="shared" si="56"/>
        <v>3175</v>
      </c>
      <c r="Q637" s="3">
        <f t="shared" si="59"/>
        <v>1.694047866919461E-5</v>
      </c>
      <c r="R637" s="3">
        <f t="shared" si="55"/>
        <v>8.4702393345973052E-5</v>
      </c>
      <c r="S637" s="3">
        <f t="shared" si="57"/>
        <v>0.20654076622060924</v>
      </c>
      <c r="T637" s="20">
        <f t="shared" si="58"/>
        <v>0.33880957338389217</v>
      </c>
      <c r="U637" s="20">
        <v>290.99666400560375</v>
      </c>
    </row>
    <row r="638" spans="15:21" x14ac:dyDescent="0.35">
      <c r="O638" s="18">
        <v>5</v>
      </c>
      <c r="P638" s="18">
        <f t="shared" si="56"/>
        <v>3180</v>
      </c>
      <c r="Q638" s="3">
        <f t="shared" si="59"/>
        <v>1.6901881025415122E-5</v>
      </c>
      <c r="R638" s="3">
        <f t="shared" si="55"/>
        <v>8.4509405127075604E-5</v>
      </c>
      <c r="S638" s="3">
        <f t="shared" si="57"/>
        <v>0.20662546861395523</v>
      </c>
      <c r="T638" s="20">
        <f t="shared" si="58"/>
        <v>0.33803762050830244</v>
      </c>
      <c r="U638" s="20">
        <v>290.99256340868999</v>
      </c>
    </row>
    <row r="639" spans="15:21" x14ac:dyDescent="0.35">
      <c r="O639" s="18">
        <v>5</v>
      </c>
      <c r="P639" s="18">
        <f t="shared" si="56"/>
        <v>3185</v>
      </c>
      <c r="Q639" s="3">
        <f t="shared" si="59"/>
        <v>1.6863396707431344E-5</v>
      </c>
      <c r="R639" s="3">
        <f t="shared" si="55"/>
        <v>8.4316983537156717E-5</v>
      </c>
      <c r="S639" s="3">
        <f t="shared" si="57"/>
        <v>0.20670997801908231</v>
      </c>
      <c r="T639" s="20">
        <f t="shared" si="58"/>
        <v>0.33726793414862694</v>
      </c>
      <c r="U639" s="20">
        <v>290.98847484722353</v>
      </c>
    </row>
    <row r="640" spans="15:21" x14ac:dyDescent="0.35">
      <c r="O640" s="18">
        <v>5</v>
      </c>
      <c r="P640" s="18">
        <f t="shared" si="56"/>
        <v>3190</v>
      </c>
      <c r="Q640" s="3">
        <f t="shared" si="59"/>
        <v>1.6825025258812608E-5</v>
      </c>
      <c r="R640" s="3">
        <f t="shared" si="55"/>
        <v>8.4125126294063042E-5</v>
      </c>
      <c r="S640" s="3">
        <f t="shared" si="57"/>
        <v>0.20679429500261948</v>
      </c>
      <c r="T640" s="20">
        <f t="shared" si="58"/>
        <v>0.33650050517625213</v>
      </c>
      <c r="U640" s="20">
        <v>290.98439825352318</v>
      </c>
    </row>
    <row r="641" spans="15:21" x14ac:dyDescent="0.35">
      <c r="O641" s="18">
        <v>5</v>
      </c>
      <c r="P641" s="18">
        <f t="shared" si="56"/>
        <v>3195</v>
      </c>
      <c r="Q641" s="3">
        <f t="shared" si="59"/>
        <v>1.6786766225612098E-5</v>
      </c>
      <c r="R641" s="3">
        <f t="shared" si="55"/>
        <v>8.3933831128060483E-5</v>
      </c>
      <c r="S641" s="3">
        <f t="shared" si="57"/>
        <v>0.20687842012891355</v>
      </c>
      <c r="T641" s="20">
        <f t="shared" si="58"/>
        <v>0.33573532451224192</v>
      </c>
      <c r="U641" s="20">
        <v>290.98033360268033</v>
      </c>
    </row>
    <row r="642" spans="15:21" x14ac:dyDescent="0.35">
      <c r="O642" s="18">
        <v>5</v>
      </c>
      <c r="P642" s="18">
        <f t="shared" si="56"/>
        <v>3200</v>
      </c>
      <c r="Q642" s="3">
        <f t="shared" si="59"/>
        <v>1.6748619156349579E-5</v>
      </c>
      <c r="R642" s="3">
        <f t="shared" ref="R642:R705" si="60">Q642*O642</f>
        <v>8.3743095781747904E-5</v>
      </c>
      <c r="S642" s="3">
        <f t="shared" si="57"/>
        <v>0.20696235396004162</v>
      </c>
      <c r="T642" s="20">
        <f t="shared" si="58"/>
        <v>0.33497238312699157</v>
      </c>
      <c r="U642" s="20">
        <v>290.97628082803573</v>
      </c>
    </row>
    <row r="643" spans="15:21" x14ac:dyDescent="0.35">
      <c r="O643" s="18">
        <v>5</v>
      </c>
      <c r="P643" s="18">
        <f t="shared" ref="P643:P706" si="61">O643+P642</f>
        <v>3205</v>
      </c>
      <c r="Q643" s="3">
        <f t="shared" si="59"/>
        <v>1.6710583601994236E-5</v>
      </c>
      <c r="R643" s="3">
        <f t="shared" si="60"/>
        <v>8.3552918009971184E-5</v>
      </c>
      <c r="S643" s="3">
        <f t="shared" ref="S643:S706" si="62">S642+R642</f>
        <v>0.20704609705582336</v>
      </c>
      <c r="T643" s="20">
        <f t="shared" ref="T643:T706" si="63">Q643*$B$9*$B$2*0.5/$B$11</f>
        <v>0.33421167203988472</v>
      </c>
      <c r="U643" s="20">
        <v>290.97223989238427</v>
      </c>
    </row>
    <row r="644" spans="15:21" x14ac:dyDescent="0.35">
      <c r="O644" s="18">
        <v>5</v>
      </c>
      <c r="P644" s="18">
        <f t="shared" si="61"/>
        <v>3210</v>
      </c>
      <c r="Q644" s="3">
        <f t="shared" ref="Q644:Q707" si="64">$T$2*(1-(S644/$B$12))/($B$9*((0.5*$B$2/$B$11)+(S644/$B$10)))</f>
        <v>1.6672659115947669E-5</v>
      </c>
      <c r="R644" s="3">
        <f t="shared" si="60"/>
        <v>8.3363295579738346E-5</v>
      </c>
      <c r="S644" s="3">
        <f t="shared" si="62"/>
        <v>0.20712964997383332</v>
      </c>
      <c r="T644" s="20">
        <f t="shared" si="63"/>
        <v>0.33345318231895338</v>
      </c>
      <c r="U644" s="20">
        <v>290.96821075339477</v>
      </c>
    </row>
    <row r="645" spans="15:21" x14ac:dyDescent="0.35">
      <c r="O645" s="18">
        <v>5</v>
      </c>
      <c r="P645" s="18">
        <f t="shared" si="61"/>
        <v>3215</v>
      </c>
      <c r="Q645" s="3">
        <f t="shared" si="64"/>
        <v>1.663484525402705E-5</v>
      </c>
      <c r="R645" s="3">
        <f t="shared" si="60"/>
        <v>8.3174226270135251E-5</v>
      </c>
      <c r="S645" s="3">
        <f t="shared" si="62"/>
        <v>0.20721301326941305</v>
      </c>
      <c r="T645" s="20">
        <f t="shared" si="63"/>
        <v>0.33269690508054095</v>
      </c>
      <c r="U645" s="20">
        <v>290.96419333706837</v>
      </c>
    </row>
    <row r="646" spans="15:21" x14ac:dyDescent="0.35">
      <c r="O646" s="18">
        <v>5</v>
      </c>
      <c r="P646" s="18">
        <f t="shared" si="61"/>
        <v>3220</v>
      </c>
      <c r="Q646" s="3">
        <f t="shared" si="64"/>
        <v>1.6597141574448417E-5</v>
      </c>
      <c r="R646" s="3">
        <f t="shared" si="60"/>
        <v>8.2985707872242084E-5</v>
      </c>
      <c r="S646" s="3">
        <f t="shared" si="62"/>
        <v>0.20729618749568318</v>
      </c>
      <c r="T646" s="20">
        <f t="shared" si="63"/>
        <v>0.3319428314889683</v>
      </c>
      <c r="U646" s="20">
        <v>290.96018763458676</v>
      </c>
    </row>
    <row r="647" spans="15:21" x14ac:dyDescent="0.35">
      <c r="O647" s="18">
        <v>5</v>
      </c>
      <c r="P647" s="18">
        <f t="shared" si="61"/>
        <v>3225</v>
      </c>
      <c r="Q647" s="3">
        <f t="shared" si="64"/>
        <v>1.6559547637810109E-5</v>
      </c>
      <c r="R647" s="3">
        <f t="shared" si="60"/>
        <v>8.2797738189050536E-5</v>
      </c>
      <c r="S647" s="3">
        <f t="shared" si="62"/>
        <v>0.20737917320355542</v>
      </c>
      <c r="T647" s="20">
        <f t="shared" si="63"/>
        <v>0.33119095275620214</v>
      </c>
      <c r="U647" s="20">
        <v>290.95619356586792</v>
      </c>
    </row>
    <row r="648" spans="15:21" x14ac:dyDescent="0.35">
      <c r="O648" s="18">
        <v>5</v>
      </c>
      <c r="P648" s="18">
        <f t="shared" si="61"/>
        <v>3230</v>
      </c>
      <c r="Q648" s="3">
        <f t="shared" si="64"/>
        <v>1.6522063007076294E-5</v>
      </c>
      <c r="R648" s="3">
        <f t="shared" si="60"/>
        <v>8.2610315035381473E-5</v>
      </c>
      <c r="S648" s="3">
        <f t="shared" si="62"/>
        <v>0.20746197094174448</v>
      </c>
      <c r="T648" s="20">
        <f t="shared" si="63"/>
        <v>0.33044126014152592</v>
      </c>
      <c r="U648" s="20">
        <v>290.9522111104921</v>
      </c>
    </row>
    <row r="649" spans="15:21" x14ac:dyDescent="0.35">
      <c r="O649" s="18">
        <v>5</v>
      </c>
      <c r="P649" s="18">
        <f t="shared" si="61"/>
        <v>3235</v>
      </c>
      <c r="Q649" s="3">
        <f t="shared" si="64"/>
        <v>1.6484687247560747E-5</v>
      </c>
      <c r="R649" s="3">
        <f t="shared" si="60"/>
        <v>8.2423436237803727E-5</v>
      </c>
      <c r="S649" s="3">
        <f t="shared" si="62"/>
        <v>0.20754458125677985</v>
      </c>
      <c r="T649" s="20">
        <f t="shared" si="63"/>
        <v>0.3296937449512149</v>
      </c>
      <c r="U649" s="20">
        <v>290.94824020373403</v>
      </c>
    </row>
    <row r="650" spans="15:21" x14ac:dyDescent="0.35">
      <c r="O650" s="18">
        <v>5</v>
      </c>
      <c r="P650" s="18">
        <f t="shared" si="61"/>
        <v>3240</v>
      </c>
      <c r="Q650" s="3">
        <f t="shared" si="64"/>
        <v>1.6447419926910614E-5</v>
      </c>
      <c r="R650" s="3">
        <f t="shared" si="60"/>
        <v>8.2237099634553069E-5</v>
      </c>
      <c r="S650" s="3">
        <f t="shared" si="62"/>
        <v>0.20762700469301765</v>
      </c>
      <c r="T650" s="20">
        <f t="shared" si="63"/>
        <v>0.32894839853821228</v>
      </c>
      <c r="U650" s="20">
        <v>290.94428081535693</v>
      </c>
    </row>
    <row r="651" spans="15:21" x14ac:dyDescent="0.35">
      <c r="O651" s="18">
        <v>5</v>
      </c>
      <c r="P651" s="18">
        <f t="shared" si="61"/>
        <v>3245</v>
      </c>
      <c r="Q651" s="3">
        <f t="shared" si="64"/>
        <v>1.6410260615090425E-5</v>
      </c>
      <c r="R651" s="3">
        <f t="shared" si="60"/>
        <v>8.2051303075452123E-5</v>
      </c>
      <c r="S651" s="3">
        <f t="shared" si="62"/>
        <v>0.20770924179265221</v>
      </c>
      <c r="T651" s="20">
        <f t="shared" si="63"/>
        <v>0.32820521230180855</v>
      </c>
      <c r="U651" s="20">
        <v>290.94033288300608</v>
      </c>
    </row>
    <row r="652" spans="15:21" x14ac:dyDescent="0.35">
      <c r="O652" s="18">
        <v>5</v>
      </c>
      <c r="P652" s="18">
        <f t="shared" si="61"/>
        <v>3250</v>
      </c>
      <c r="Q652" s="3">
        <f t="shared" si="64"/>
        <v>1.6373208884366242E-5</v>
      </c>
      <c r="R652" s="3">
        <f t="shared" si="60"/>
        <v>8.1866044421831209E-5</v>
      </c>
      <c r="S652" s="3">
        <f t="shared" si="62"/>
        <v>0.20779129309572766</v>
      </c>
      <c r="T652" s="20">
        <f t="shared" si="63"/>
        <v>0.32746417768732483</v>
      </c>
      <c r="U652" s="20">
        <v>290.93639638873151</v>
      </c>
    </row>
    <row r="653" spans="15:21" x14ac:dyDescent="0.35">
      <c r="O653" s="18">
        <v>5</v>
      </c>
      <c r="P653" s="18">
        <f t="shared" si="61"/>
        <v>3255</v>
      </c>
      <c r="Q653" s="3">
        <f t="shared" si="64"/>
        <v>1.6336264309289852E-5</v>
      </c>
      <c r="R653" s="3">
        <f t="shared" si="60"/>
        <v>8.1681321546449263E-5</v>
      </c>
      <c r="S653" s="3">
        <f t="shared" si="62"/>
        <v>0.2078731591401495</v>
      </c>
      <c r="T653" s="20">
        <f t="shared" si="63"/>
        <v>0.3267252861857971</v>
      </c>
      <c r="U653" s="20">
        <v>290.93247124756982</v>
      </c>
    </row>
    <row r="654" spans="15:21" x14ac:dyDescent="0.35">
      <c r="O654" s="18">
        <v>5</v>
      </c>
      <c r="P654" s="18">
        <f t="shared" si="61"/>
        <v>3260</v>
      </c>
      <c r="Q654" s="3">
        <f t="shared" si="64"/>
        <v>1.6299426466683166E-5</v>
      </c>
      <c r="R654" s="3">
        <f t="shared" si="60"/>
        <v>8.1497132333415828E-5</v>
      </c>
      <c r="S654" s="3">
        <f t="shared" si="62"/>
        <v>0.20795484046169596</v>
      </c>
      <c r="T654" s="20">
        <f t="shared" si="63"/>
        <v>0.3259885293336634</v>
      </c>
      <c r="U654" s="20">
        <v>290.9285574484843</v>
      </c>
    </row>
    <row r="655" spans="15:21" x14ac:dyDescent="0.35">
      <c r="O655" s="18">
        <v>5</v>
      </c>
      <c r="P655" s="18">
        <f t="shared" si="61"/>
        <v>3265</v>
      </c>
      <c r="Q655" s="3">
        <f t="shared" si="64"/>
        <v>1.6262694935622737E-5</v>
      </c>
      <c r="R655" s="3">
        <f t="shared" si="60"/>
        <v>8.1313474678113682E-5</v>
      </c>
      <c r="S655" s="3">
        <f t="shared" si="62"/>
        <v>0.20803633759402937</v>
      </c>
      <c r="T655" s="20">
        <f t="shared" si="63"/>
        <v>0.32525389871245475</v>
      </c>
      <c r="U655" s="20">
        <v>290.92465491339772</v>
      </c>
    </row>
    <row r="656" spans="15:21" x14ac:dyDescent="0.35">
      <c r="O656" s="18">
        <v>5</v>
      </c>
      <c r="P656" s="18">
        <f t="shared" si="61"/>
        <v>3270</v>
      </c>
      <c r="Q656" s="3">
        <f t="shared" si="64"/>
        <v>1.6226069297424366E-5</v>
      </c>
      <c r="R656" s="3">
        <f t="shared" si="60"/>
        <v>8.1130346487121835E-5</v>
      </c>
      <c r="S656" s="3">
        <f t="shared" si="62"/>
        <v>0.20811765106870747</v>
      </c>
      <c r="T656" s="20">
        <f t="shared" si="63"/>
        <v>0.32452138594848728</v>
      </c>
      <c r="U656" s="20">
        <v>290.92076364005516</v>
      </c>
    </row>
    <row r="657" spans="15:21" x14ac:dyDescent="0.35">
      <c r="O657" s="18">
        <v>5</v>
      </c>
      <c r="P657" s="18">
        <f t="shared" si="61"/>
        <v>3275</v>
      </c>
      <c r="Q657" s="3">
        <f t="shared" si="64"/>
        <v>1.6189549135627883E-5</v>
      </c>
      <c r="R657" s="3">
        <f t="shared" si="60"/>
        <v>8.0947745678139416E-5</v>
      </c>
      <c r="S657" s="3">
        <f t="shared" si="62"/>
        <v>0.2081987814151946</v>
      </c>
      <c r="T657" s="20">
        <f t="shared" si="63"/>
        <v>0.32379098271255763</v>
      </c>
      <c r="U657" s="20">
        <v>290.91688355202746</v>
      </c>
    </row>
    <row r="658" spans="15:21" x14ac:dyDescent="0.35">
      <c r="O658" s="18">
        <v>5</v>
      </c>
      <c r="P658" s="18">
        <f t="shared" si="61"/>
        <v>3280</v>
      </c>
      <c r="Q658" s="3">
        <f t="shared" si="64"/>
        <v>1.6153134035982071E-5</v>
      </c>
      <c r="R658" s="3">
        <f t="shared" si="60"/>
        <v>8.076567017991035E-5</v>
      </c>
      <c r="S658" s="3">
        <f t="shared" si="62"/>
        <v>0.20827972916087273</v>
      </c>
      <c r="T658" s="20">
        <f t="shared" si="63"/>
        <v>0.32306268071964139</v>
      </c>
      <c r="U658" s="20">
        <v>290.91301461988706</v>
      </c>
    </row>
    <row r="659" spans="15:21" x14ac:dyDescent="0.35">
      <c r="O659" s="18">
        <v>5</v>
      </c>
      <c r="P659" s="18">
        <f t="shared" si="61"/>
        <v>3285</v>
      </c>
      <c r="Q659" s="3">
        <f t="shared" si="64"/>
        <v>1.6116823586429598E-5</v>
      </c>
      <c r="R659" s="3">
        <f t="shared" si="60"/>
        <v>8.0584117932147988E-5</v>
      </c>
      <c r="S659" s="3">
        <f t="shared" si="62"/>
        <v>0.20836049483105265</v>
      </c>
      <c r="T659" s="20">
        <f t="shared" si="63"/>
        <v>0.32233647172859192</v>
      </c>
      <c r="U659" s="20">
        <v>290.90915679789481</v>
      </c>
    </row>
    <row r="660" spans="15:21" x14ac:dyDescent="0.35">
      <c r="O660" s="18">
        <v>5</v>
      </c>
      <c r="P660" s="18">
        <f t="shared" si="61"/>
        <v>3290</v>
      </c>
      <c r="Q660" s="3">
        <f t="shared" si="64"/>
        <v>1.6080617377092254E-5</v>
      </c>
      <c r="R660" s="3">
        <f t="shared" si="60"/>
        <v>8.0403086885461278E-5</v>
      </c>
      <c r="S660" s="3">
        <f t="shared" si="62"/>
        <v>0.20844107894898481</v>
      </c>
      <c r="T660" s="20">
        <f t="shared" si="63"/>
        <v>0.32161234754184509</v>
      </c>
      <c r="U660" s="20">
        <v>290.90531003432369</v>
      </c>
    </row>
    <row r="661" spans="15:21" x14ac:dyDescent="0.35">
      <c r="O661" s="18">
        <v>5</v>
      </c>
      <c r="P661" s="18">
        <f t="shared" si="61"/>
        <v>3295</v>
      </c>
      <c r="Q661" s="3">
        <f t="shared" si="64"/>
        <v>1.6044515000256149E-5</v>
      </c>
      <c r="R661" s="3">
        <f t="shared" si="60"/>
        <v>8.0222575001280739E-5</v>
      </c>
      <c r="S661" s="3">
        <f t="shared" si="62"/>
        <v>0.20852148203587026</v>
      </c>
      <c r="T661" s="20">
        <f t="shared" si="63"/>
        <v>0.32089030000512297</v>
      </c>
      <c r="U661" s="20">
        <v>290.90147429795434</v>
      </c>
    </row>
    <row r="662" spans="15:21" x14ac:dyDescent="0.35">
      <c r="O662" s="18">
        <v>5</v>
      </c>
      <c r="P662" s="18">
        <f t="shared" si="61"/>
        <v>3300</v>
      </c>
      <c r="Q662" s="3">
        <f t="shared" si="64"/>
        <v>1.6008516050357096E-5</v>
      </c>
      <c r="R662" s="3">
        <f t="shared" si="60"/>
        <v>8.004258025178548E-5</v>
      </c>
      <c r="S662" s="3">
        <f t="shared" si="62"/>
        <v>0.20860170461087155</v>
      </c>
      <c r="T662" s="20">
        <f t="shared" si="63"/>
        <v>0.32017032100714193</v>
      </c>
      <c r="U662" s="20">
        <v>290.89764954820021</v>
      </c>
    </row>
    <row r="663" spans="15:21" x14ac:dyDescent="0.35">
      <c r="O663" s="18">
        <v>5</v>
      </c>
      <c r="P663" s="18">
        <f t="shared" si="61"/>
        <v>3305</v>
      </c>
      <c r="Q663" s="3">
        <f t="shared" si="64"/>
        <v>1.5972620123966157E-5</v>
      </c>
      <c r="R663" s="3">
        <f t="shared" si="60"/>
        <v>7.9863100619830777E-5</v>
      </c>
      <c r="S663" s="3">
        <f t="shared" si="62"/>
        <v>0.20868174719112334</v>
      </c>
      <c r="T663" s="20">
        <f t="shared" si="63"/>
        <v>0.31945240247932311</v>
      </c>
      <c r="U663" s="20">
        <v>290.89383571833878</v>
      </c>
    </row>
    <row r="664" spans="15:21" x14ac:dyDescent="0.35">
      <c r="O664" s="18">
        <v>5</v>
      </c>
      <c r="P664" s="18">
        <f t="shared" si="61"/>
        <v>3310</v>
      </c>
      <c r="Q664" s="3">
        <f t="shared" si="64"/>
        <v>1.5936826819775235E-5</v>
      </c>
      <c r="R664" s="3">
        <f t="shared" si="60"/>
        <v>7.9684134098876173E-5</v>
      </c>
      <c r="S664" s="3">
        <f t="shared" si="62"/>
        <v>0.20876161029174317</v>
      </c>
      <c r="T664" s="20">
        <f t="shared" si="63"/>
        <v>0.3187365363955047</v>
      </c>
      <c r="U664" s="20">
        <v>290.89003278968636</v>
      </c>
    </row>
    <row r="665" spans="15:21" x14ac:dyDescent="0.35">
      <c r="O665" s="18">
        <v>5</v>
      </c>
      <c r="P665" s="18">
        <f t="shared" si="61"/>
        <v>3315</v>
      </c>
      <c r="Q665" s="3">
        <f t="shared" si="64"/>
        <v>1.5901135738582811E-5</v>
      </c>
      <c r="R665" s="3">
        <f t="shared" si="60"/>
        <v>7.9505678692914049E-5</v>
      </c>
      <c r="S665" s="3">
        <f t="shared" si="62"/>
        <v>0.20884129442584204</v>
      </c>
      <c r="T665" s="20">
        <f t="shared" si="63"/>
        <v>0.31802271477165622</v>
      </c>
      <c r="U665" s="20">
        <v>290.88624072205511</v>
      </c>
    </row>
    <row r="666" spans="15:21" x14ac:dyDescent="0.35">
      <c r="O666" s="18">
        <v>5</v>
      </c>
      <c r="P666" s="18">
        <f t="shared" si="61"/>
        <v>3320</v>
      </c>
      <c r="Q666" s="3">
        <f t="shared" si="64"/>
        <v>1.586554648327982E-5</v>
      </c>
      <c r="R666" s="3">
        <f t="shared" si="60"/>
        <v>7.9327732416399103E-5</v>
      </c>
      <c r="S666" s="3">
        <f t="shared" si="62"/>
        <v>0.20892080010453495</v>
      </c>
      <c r="T666" s="20">
        <f t="shared" si="63"/>
        <v>0.31731092966559643</v>
      </c>
      <c r="U666" s="20">
        <v>290.88245945522709</v>
      </c>
    </row>
    <row r="667" spans="15:21" x14ac:dyDescent="0.35">
      <c r="O667" s="18">
        <v>5</v>
      </c>
      <c r="P667" s="18">
        <f t="shared" si="61"/>
        <v>3325</v>
      </c>
      <c r="Q667" s="3">
        <f t="shared" si="64"/>
        <v>1.5830058658835611E-5</v>
      </c>
      <c r="R667" s="3">
        <f t="shared" si="60"/>
        <v>7.915029329417806E-5</v>
      </c>
      <c r="S667" s="3">
        <f t="shared" si="62"/>
        <v>0.20900012783695135</v>
      </c>
      <c r="T667" s="20">
        <f t="shared" si="63"/>
        <v>0.31660117317671221</v>
      </c>
      <c r="U667" s="20">
        <v>290.87868895766042</v>
      </c>
    </row>
    <row r="668" spans="15:21" x14ac:dyDescent="0.35">
      <c r="O668" s="18">
        <v>5</v>
      </c>
      <c r="P668" s="18">
        <f t="shared" si="61"/>
        <v>3330</v>
      </c>
      <c r="Q668" s="3">
        <f t="shared" si="64"/>
        <v>1.5794671872284054E-5</v>
      </c>
      <c r="R668" s="3">
        <f t="shared" si="60"/>
        <v>7.8973359361420264E-5</v>
      </c>
      <c r="S668" s="3">
        <f t="shared" si="62"/>
        <v>0.20907927813024552</v>
      </c>
      <c r="T668" s="20">
        <f t="shared" si="63"/>
        <v>0.31589343744568105</v>
      </c>
      <c r="U668" s="20">
        <v>290.87492916873038</v>
      </c>
    </row>
    <row r="669" spans="15:21" x14ac:dyDescent="0.35">
      <c r="O669" s="18">
        <v>5</v>
      </c>
      <c r="P669" s="18">
        <f t="shared" si="61"/>
        <v>3335</v>
      </c>
      <c r="Q669" s="3">
        <f t="shared" si="64"/>
        <v>1.5759385732709702E-5</v>
      </c>
      <c r="R669" s="3">
        <f t="shared" si="60"/>
        <v>7.8796928663548509E-5</v>
      </c>
      <c r="S669" s="3">
        <f t="shared" si="62"/>
        <v>0.20915825148960693</v>
      </c>
      <c r="T669" s="20">
        <f t="shared" si="63"/>
        <v>0.31518771465419404</v>
      </c>
      <c r="U669" s="20">
        <v>290.87118008213599</v>
      </c>
    </row>
    <row r="670" spans="15:21" x14ac:dyDescent="0.35">
      <c r="O670" s="18">
        <v>5</v>
      </c>
      <c r="P670" s="18">
        <f t="shared" si="61"/>
        <v>3340</v>
      </c>
      <c r="Q670" s="3">
        <f t="shared" si="64"/>
        <v>1.5724199851234151E-5</v>
      </c>
      <c r="R670" s="3">
        <f t="shared" si="60"/>
        <v>7.8620999256170758E-5</v>
      </c>
      <c r="S670" s="3">
        <f t="shared" si="62"/>
        <v>0.20923704841827048</v>
      </c>
      <c r="T670" s="20">
        <f t="shared" si="63"/>
        <v>0.31448399702468299</v>
      </c>
      <c r="U670" s="20">
        <v>290.86744162864136</v>
      </c>
    </row>
    <row r="671" spans="15:21" x14ac:dyDescent="0.35">
      <c r="O671" s="18">
        <v>5</v>
      </c>
      <c r="P671" s="18">
        <f t="shared" si="61"/>
        <v>3345</v>
      </c>
      <c r="Q671" s="3">
        <f t="shared" si="64"/>
        <v>1.5689113841002443E-5</v>
      </c>
      <c r="R671" s="3">
        <f t="shared" si="60"/>
        <v>7.8445569205012211E-5</v>
      </c>
      <c r="S671" s="3">
        <f t="shared" si="62"/>
        <v>0.20931566941752666</v>
      </c>
      <c r="T671" s="20">
        <f t="shared" si="63"/>
        <v>0.31378227682004883</v>
      </c>
      <c r="U671" s="20">
        <v>290.86371379563116</v>
      </c>
    </row>
    <row r="672" spans="15:21" x14ac:dyDescent="0.35">
      <c r="O672" s="18">
        <v>5</v>
      </c>
      <c r="P672" s="18">
        <f t="shared" si="61"/>
        <v>3350</v>
      </c>
      <c r="Q672" s="3">
        <f t="shared" si="64"/>
        <v>1.5654127317169607E-5</v>
      </c>
      <c r="R672" s="3">
        <f t="shared" si="60"/>
        <v>7.8270636585848035E-5</v>
      </c>
      <c r="S672" s="3">
        <f t="shared" si="62"/>
        <v>0.20939411498673166</v>
      </c>
      <c r="T672" s="20">
        <f t="shared" si="63"/>
        <v>0.31308254634339211</v>
      </c>
      <c r="U672" s="20">
        <v>290.85999651035792</v>
      </c>
    </row>
    <row r="673" spans="15:21" x14ac:dyDescent="0.35">
      <c r="O673" s="18">
        <v>5</v>
      </c>
      <c r="P673" s="18">
        <f t="shared" si="61"/>
        <v>3355</v>
      </c>
      <c r="Q673" s="3">
        <f t="shared" si="64"/>
        <v>1.5619239896887288E-5</v>
      </c>
      <c r="R673" s="3">
        <f t="shared" si="60"/>
        <v>7.8096199484436449E-5</v>
      </c>
      <c r="S673" s="3">
        <f t="shared" si="62"/>
        <v>0.20947238562331752</v>
      </c>
      <c r="T673" s="20">
        <f t="shared" si="63"/>
        <v>0.31238479793774576</v>
      </c>
      <c r="U673" s="20">
        <v>290.85628974442699</v>
      </c>
    </row>
    <row r="674" spans="15:21" x14ac:dyDescent="0.35">
      <c r="O674" s="18">
        <v>5</v>
      </c>
      <c r="P674" s="18">
        <f t="shared" si="61"/>
        <v>3360</v>
      </c>
      <c r="Q674" s="3">
        <f t="shared" si="64"/>
        <v>1.5584451199290534E-5</v>
      </c>
      <c r="R674" s="3">
        <f t="shared" si="60"/>
        <v>7.7922255996452677E-5</v>
      </c>
      <c r="S674" s="3">
        <f t="shared" si="62"/>
        <v>0.20955048182280195</v>
      </c>
      <c r="T674" s="20">
        <f t="shared" si="63"/>
        <v>0.31168902398581066</v>
      </c>
      <c r="U674" s="20">
        <v>290.85259344554203</v>
      </c>
    </row>
    <row r="675" spans="15:21" x14ac:dyDescent="0.35">
      <c r="O675" s="18">
        <v>5</v>
      </c>
      <c r="P675" s="18">
        <f t="shared" si="61"/>
        <v>3365</v>
      </c>
      <c r="Q675" s="3">
        <f t="shared" si="64"/>
        <v>1.5549760845484614E-5</v>
      </c>
      <c r="R675" s="3">
        <f t="shared" si="60"/>
        <v>7.7748804227423062E-5</v>
      </c>
      <c r="S675" s="3">
        <f t="shared" si="62"/>
        <v>0.2096284040787984</v>
      </c>
      <c r="T675" s="20">
        <f t="shared" si="63"/>
        <v>0.31099521690969228</v>
      </c>
      <c r="U675" s="20">
        <v>290.84890760291597</v>
      </c>
    </row>
    <row r="676" spans="15:21" x14ac:dyDescent="0.35">
      <c r="O676" s="18">
        <v>5</v>
      </c>
      <c r="P676" s="18">
        <f t="shared" si="61"/>
        <v>3370</v>
      </c>
      <c r="Q676" s="3">
        <f t="shared" si="64"/>
        <v>1.5515168458532009E-5</v>
      </c>
      <c r="R676" s="3">
        <f t="shared" si="60"/>
        <v>7.7575842292660046E-5</v>
      </c>
      <c r="S676" s="3">
        <f t="shared" si="62"/>
        <v>0.20970615288302583</v>
      </c>
      <c r="T676" s="20">
        <f t="shared" si="63"/>
        <v>0.31030336917064016</v>
      </c>
      <c r="U676" s="20">
        <v>290.84523216770691</v>
      </c>
    </row>
    <row r="677" spans="15:21" x14ac:dyDescent="0.35">
      <c r="O677" s="18">
        <v>5</v>
      </c>
      <c r="P677" s="18">
        <f t="shared" si="61"/>
        <v>3375</v>
      </c>
      <c r="Q677" s="3">
        <f t="shared" si="64"/>
        <v>1.54806736634395E-5</v>
      </c>
      <c r="R677" s="3">
        <f t="shared" si="60"/>
        <v>7.7403368317197492E-5</v>
      </c>
      <c r="S677" s="3">
        <f t="shared" si="62"/>
        <v>0.20978372872531847</v>
      </c>
      <c r="T677" s="20">
        <f t="shared" si="63"/>
        <v>0.30961347326878996</v>
      </c>
      <c r="U677" s="20">
        <v>290.84156707145297</v>
      </c>
    </row>
    <row r="678" spans="15:21" x14ac:dyDescent="0.35">
      <c r="O678" s="18">
        <v>5</v>
      </c>
      <c r="P678" s="18">
        <f t="shared" si="61"/>
        <v>3380</v>
      </c>
      <c r="Q678" s="3">
        <f t="shared" si="64"/>
        <v>1.54462760871453E-5</v>
      </c>
      <c r="R678" s="3">
        <f t="shared" si="60"/>
        <v>7.7231380435726493E-5</v>
      </c>
      <c r="S678" s="3">
        <f t="shared" si="62"/>
        <v>0.20986113209363566</v>
      </c>
      <c r="T678" s="20">
        <f t="shared" si="63"/>
        <v>0.308925521742906</v>
      </c>
      <c r="U678" s="20">
        <v>290.83791231667425</v>
      </c>
    </row>
    <row r="679" spans="15:21" x14ac:dyDescent="0.35">
      <c r="O679" s="18">
        <v>5</v>
      </c>
      <c r="P679" s="18">
        <f t="shared" si="61"/>
        <v>3385</v>
      </c>
      <c r="Q679" s="3">
        <f t="shared" si="64"/>
        <v>1.5411975358506362E-5</v>
      </c>
      <c r="R679" s="3">
        <f t="shared" si="60"/>
        <v>7.7059876792531817E-5</v>
      </c>
      <c r="S679" s="3">
        <f t="shared" si="62"/>
        <v>0.20993836347407138</v>
      </c>
      <c r="T679" s="20">
        <f t="shared" si="63"/>
        <v>0.30823950717012721</v>
      </c>
      <c r="U679" s="20">
        <v>290.83426782566499</v>
      </c>
    </row>
    <row r="680" spans="15:21" x14ac:dyDescent="0.35">
      <c r="O680" s="18">
        <v>5</v>
      </c>
      <c r="P680" s="18">
        <f t="shared" si="61"/>
        <v>3390</v>
      </c>
      <c r="Q680" s="3">
        <f t="shared" si="64"/>
        <v>1.5377771108285754E-5</v>
      </c>
      <c r="R680" s="3">
        <f t="shared" si="60"/>
        <v>7.6888855541428771E-5</v>
      </c>
      <c r="S680" s="3">
        <f t="shared" si="62"/>
        <v>0.21001542335086393</v>
      </c>
      <c r="T680" s="20">
        <f t="shared" si="63"/>
        <v>0.30755542216571508</v>
      </c>
      <c r="U680" s="20">
        <v>290.83063357759738</v>
      </c>
    </row>
    <row r="681" spans="15:21" x14ac:dyDescent="0.35">
      <c r="O681" s="18">
        <v>5</v>
      </c>
      <c r="P681" s="18">
        <f t="shared" si="61"/>
        <v>3395</v>
      </c>
      <c r="Q681" s="3">
        <f t="shared" si="64"/>
        <v>1.5343662969140146E-5</v>
      </c>
      <c r="R681" s="3">
        <f t="shared" si="60"/>
        <v>7.6718314845700732E-5</v>
      </c>
      <c r="S681" s="3">
        <f t="shared" si="62"/>
        <v>0.21009231220640537</v>
      </c>
      <c r="T681" s="20">
        <f t="shared" si="63"/>
        <v>0.30687325938280291</v>
      </c>
      <c r="U681" s="20">
        <v>290.8270095483453</v>
      </c>
    </row>
    <row r="682" spans="15:21" x14ac:dyDescent="0.35">
      <c r="O682" s="18">
        <v>5</v>
      </c>
      <c r="P682" s="18">
        <f t="shared" si="61"/>
        <v>3400</v>
      </c>
      <c r="Q682" s="3">
        <f t="shared" si="64"/>
        <v>1.5309650575607392E-5</v>
      </c>
      <c r="R682" s="3">
        <f t="shared" si="60"/>
        <v>7.6548252878036964E-5</v>
      </c>
      <c r="S682" s="3">
        <f t="shared" si="62"/>
        <v>0.21016903052125108</v>
      </c>
      <c r="T682" s="20">
        <f t="shared" si="63"/>
        <v>0.30619301151214784</v>
      </c>
      <c r="U682" s="20">
        <v>290.82339567179838</v>
      </c>
    </row>
    <row r="683" spans="15:21" x14ac:dyDescent="0.35">
      <c r="O683" s="18">
        <v>5</v>
      </c>
      <c r="P683" s="18">
        <f t="shared" si="61"/>
        <v>3405</v>
      </c>
      <c r="Q683" s="3">
        <f t="shared" si="64"/>
        <v>1.5275733564094202E-5</v>
      </c>
      <c r="R683" s="3">
        <f t="shared" si="60"/>
        <v>7.6378667820471008E-5</v>
      </c>
      <c r="S683" s="3">
        <f t="shared" si="62"/>
        <v>0.21024557877412911</v>
      </c>
      <c r="T683" s="20">
        <f t="shared" si="63"/>
        <v>0.30551467128188403</v>
      </c>
      <c r="U683" s="20">
        <v>290.81979192830772</v>
      </c>
    </row>
    <row r="684" spans="15:21" x14ac:dyDescent="0.35">
      <c r="O684" s="18">
        <v>5</v>
      </c>
      <c r="P684" s="18">
        <f t="shared" si="61"/>
        <v>3410</v>
      </c>
      <c r="Q684" s="3">
        <f t="shared" si="64"/>
        <v>1.5241911572863909E-5</v>
      </c>
      <c r="R684" s="3">
        <f t="shared" si="60"/>
        <v>7.6209557864319547E-5</v>
      </c>
      <c r="S684" s="3">
        <f t="shared" si="62"/>
        <v>0.21032195744194959</v>
      </c>
      <c r="T684" s="20">
        <f t="shared" si="63"/>
        <v>0.30483823145727817</v>
      </c>
      <c r="U684" s="20">
        <v>290.81619825339135</v>
      </c>
    </row>
    <row r="685" spans="15:21" x14ac:dyDescent="0.35">
      <c r="O685" s="18">
        <v>5</v>
      </c>
      <c r="P685" s="18">
        <f t="shared" si="61"/>
        <v>3415</v>
      </c>
      <c r="Q685" s="3">
        <f t="shared" si="64"/>
        <v>1.5208184242024385E-5</v>
      </c>
      <c r="R685" s="3">
        <f t="shared" si="60"/>
        <v>7.6040921210121921E-5</v>
      </c>
      <c r="S685" s="3">
        <f t="shared" si="62"/>
        <v>0.21039816699981392</v>
      </c>
      <c r="T685" s="20">
        <f t="shared" si="63"/>
        <v>0.30416368484048767</v>
      </c>
      <c r="U685" s="20">
        <v>290.81261464450847</v>
      </c>
    </row>
    <row r="686" spans="15:21" x14ac:dyDescent="0.35">
      <c r="O686" s="18">
        <v>5</v>
      </c>
      <c r="P686" s="18">
        <f t="shared" si="61"/>
        <v>3420</v>
      </c>
      <c r="Q686" s="3">
        <f t="shared" si="64"/>
        <v>1.5174551213515987E-5</v>
      </c>
      <c r="R686" s="3">
        <f t="shared" si="60"/>
        <v>7.587275606757993E-5</v>
      </c>
      <c r="S686" s="3">
        <f t="shared" si="62"/>
        <v>0.21047420792102406</v>
      </c>
      <c r="T686" s="20">
        <f t="shared" si="63"/>
        <v>0.30349102427031971</v>
      </c>
      <c r="U686" s="20">
        <v>290.80904105360992</v>
      </c>
    </row>
    <row r="687" spans="15:21" x14ac:dyDescent="0.35">
      <c r="O687" s="18">
        <v>5</v>
      </c>
      <c r="P687" s="18">
        <f t="shared" si="61"/>
        <v>3425</v>
      </c>
      <c r="Q687" s="3">
        <f t="shared" si="64"/>
        <v>1.5141012131099637E-5</v>
      </c>
      <c r="R687" s="3">
        <f t="shared" si="60"/>
        <v>7.5705060655498183E-5</v>
      </c>
      <c r="S687" s="3">
        <f t="shared" si="62"/>
        <v>0.21055008067709163</v>
      </c>
      <c r="T687" s="20">
        <f t="shared" si="63"/>
        <v>0.30282024262199275</v>
      </c>
      <c r="U687" s="20">
        <v>290.80547741650275</v>
      </c>
    </row>
    <row r="688" spans="15:21" x14ac:dyDescent="0.35">
      <c r="O688" s="18">
        <v>5</v>
      </c>
      <c r="P688" s="18">
        <f t="shared" si="61"/>
        <v>3430</v>
      </c>
      <c r="Q688" s="3">
        <f t="shared" si="64"/>
        <v>1.5107566640344971E-5</v>
      </c>
      <c r="R688" s="3">
        <f t="shared" si="60"/>
        <v>7.5537833201724851E-5</v>
      </c>
      <c r="S688" s="3">
        <f t="shared" si="62"/>
        <v>0.21062578573774712</v>
      </c>
      <c r="T688" s="20">
        <f t="shared" si="63"/>
        <v>0.30215133280689943</v>
      </c>
      <c r="U688" s="20">
        <v>290.80192372080541</v>
      </c>
    </row>
    <row r="689" spans="15:21" x14ac:dyDescent="0.35">
      <c r="O689" s="18">
        <v>5</v>
      </c>
      <c r="P689" s="18">
        <f t="shared" si="61"/>
        <v>3435</v>
      </c>
      <c r="Q689" s="3">
        <f t="shared" si="64"/>
        <v>1.5074214388618608E-5</v>
      </c>
      <c r="R689" s="3">
        <f t="shared" si="60"/>
        <v>7.5371071943093038E-5</v>
      </c>
      <c r="S689" s="3">
        <f t="shared" si="62"/>
        <v>0.21070132357094884</v>
      </c>
      <c r="T689" s="20">
        <f t="shared" si="63"/>
        <v>0.30148428777237213</v>
      </c>
      <c r="U689" s="20">
        <v>290.79837994228853</v>
      </c>
    </row>
    <row r="690" spans="15:21" x14ac:dyDescent="0.35">
      <c r="O690" s="18">
        <v>5</v>
      </c>
      <c r="P690" s="18">
        <f t="shared" si="61"/>
        <v>3440</v>
      </c>
      <c r="Q690" s="3">
        <f t="shared" si="64"/>
        <v>1.504095502507251E-5</v>
      </c>
      <c r="R690" s="3">
        <f t="shared" si="60"/>
        <v>7.5204775125362543E-5</v>
      </c>
      <c r="S690" s="3">
        <f t="shared" si="62"/>
        <v>0.21077669464289192</v>
      </c>
      <c r="T690" s="20">
        <f t="shared" si="63"/>
        <v>0.30081910050145022</v>
      </c>
      <c r="U690" s="20">
        <v>290.79484599558333</v>
      </c>
    </row>
    <row r="691" spans="15:21" x14ac:dyDescent="0.35">
      <c r="O691" s="18">
        <v>5</v>
      </c>
      <c r="P691" s="18">
        <f t="shared" si="61"/>
        <v>3445</v>
      </c>
      <c r="Q691" s="3">
        <f t="shared" si="64"/>
        <v>1.5007788200632391E-5</v>
      </c>
      <c r="R691" s="3">
        <f t="shared" si="60"/>
        <v>7.5038941003161957E-5</v>
      </c>
      <c r="S691" s="3">
        <f t="shared" si="62"/>
        <v>0.2108518994180173</v>
      </c>
      <c r="T691" s="20">
        <f t="shared" si="63"/>
        <v>0.30015576401264782</v>
      </c>
      <c r="U691" s="20">
        <v>290.79132189141171</v>
      </c>
    </row>
    <row r="692" spans="15:21" x14ac:dyDescent="0.35">
      <c r="O692" s="18">
        <v>5</v>
      </c>
      <c r="P692" s="18">
        <f t="shared" si="61"/>
        <v>3450</v>
      </c>
      <c r="Q692" s="3">
        <f t="shared" si="64"/>
        <v>1.4974713567986308E-5</v>
      </c>
      <c r="R692" s="3">
        <f t="shared" si="60"/>
        <v>7.4873567839931542E-5</v>
      </c>
      <c r="S692" s="3">
        <f t="shared" si="62"/>
        <v>0.21092693835902046</v>
      </c>
      <c r="T692" s="20">
        <f t="shared" si="63"/>
        <v>0.29949427135972612</v>
      </c>
      <c r="U692" s="20">
        <v>290.78780757105932</v>
      </c>
    </row>
    <row r="693" spans="15:21" x14ac:dyDescent="0.35">
      <c r="O693" s="18">
        <v>5</v>
      </c>
      <c r="P693" s="18">
        <f t="shared" si="61"/>
        <v>3455</v>
      </c>
      <c r="Q693" s="3">
        <f t="shared" si="64"/>
        <v>1.4941730781573226E-5</v>
      </c>
      <c r="R693" s="3">
        <f t="shared" si="60"/>
        <v>7.4708653907866132E-5</v>
      </c>
      <c r="S693" s="3">
        <f t="shared" si="62"/>
        <v>0.21100181192686041</v>
      </c>
      <c r="T693" s="20">
        <f t="shared" si="63"/>
        <v>0.29883461563146457</v>
      </c>
      <c r="U693" s="20">
        <v>290.78430299856439</v>
      </c>
    </row>
    <row r="694" spans="15:21" x14ac:dyDescent="0.35">
      <c r="O694" s="18">
        <v>5</v>
      </c>
      <c r="P694" s="18">
        <f t="shared" si="61"/>
        <v>3460</v>
      </c>
      <c r="Q694" s="3">
        <f t="shared" si="64"/>
        <v>1.4908839497571775E-5</v>
      </c>
      <c r="R694" s="3">
        <f t="shared" si="60"/>
        <v>7.4544197487858881E-5</v>
      </c>
      <c r="S694" s="3">
        <f t="shared" si="62"/>
        <v>0.21107652058076828</v>
      </c>
      <c r="T694" s="20">
        <f t="shared" si="63"/>
        <v>0.29817678995143554</v>
      </c>
      <c r="U694" s="20">
        <v>290.78080815060139</v>
      </c>
    </row>
    <row r="695" spans="15:21" x14ac:dyDescent="0.35">
      <c r="O695" s="18">
        <v>5</v>
      </c>
      <c r="P695" s="18">
        <f t="shared" si="61"/>
        <v>3465</v>
      </c>
      <c r="Q695" s="3">
        <f t="shared" si="64"/>
        <v>1.4876039373889023E-5</v>
      </c>
      <c r="R695" s="3">
        <f t="shared" si="60"/>
        <v>7.4380196869445119E-5</v>
      </c>
      <c r="S695" s="3">
        <f t="shared" si="62"/>
        <v>0.21115106477825615</v>
      </c>
      <c r="T695" s="20">
        <f t="shared" si="63"/>
        <v>0.29752078747778049</v>
      </c>
      <c r="U695" s="20">
        <v>290.77732297825219</v>
      </c>
    </row>
    <row r="696" spans="15:21" x14ac:dyDescent="0.35">
      <c r="O696" s="18">
        <v>5</v>
      </c>
      <c r="P696" s="18">
        <f t="shared" si="61"/>
        <v>3470</v>
      </c>
      <c r="Q696" s="3">
        <f t="shared" si="64"/>
        <v>1.4843330070149389E-5</v>
      </c>
      <c r="R696" s="3">
        <f t="shared" si="60"/>
        <v>7.4216650350746952E-5</v>
      </c>
      <c r="S696" s="3">
        <f t="shared" si="62"/>
        <v>0.2112254449751256</v>
      </c>
      <c r="T696" s="20">
        <f t="shared" si="63"/>
        <v>0.29686660140298782</v>
      </c>
      <c r="U696" s="20">
        <v>290.77384744414417</v>
      </c>
    </row>
    <row r="697" spans="15:21" x14ac:dyDescent="0.35">
      <c r="O697" s="18">
        <v>5</v>
      </c>
      <c r="P697" s="18">
        <f t="shared" si="61"/>
        <v>3475</v>
      </c>
      <c r="Q697" s="3">
        <f t="shared" si="64"/>
        <v>1.4810711247683608E-5</v>
      </c>
      <c r="R697" s="3">
        <f t="shared" si="60"/>
        <v>7.4053556238418041E-5</v>
      </c>
      <c r="S697" s="3">
        <f t="shared" si="62"/>
        <v>0.21129966162547634</v>
      </c>
      <c r="T697" s="20">
        <f t="shared" si="63"/>
        <v>0.29621422495367217</v>
      </c>
      <c r="U697" s="20">
        <v>290.77038150979064</v>
      </c>
    </row>
    <row r="698" spans="15:21" x14ac:dyDescent="0.35">
      <c r="O698" s="18">
        <v>5</v>
      </c>
      <c r="P698" s="18">
        <f t="shared" si="61"/>
        <v>3480</v>
      </c>
      <c r="Q698" s="3">
        <f t="shared" si="64"/>
        <v>1.4778182569517782E-5</v>
      </c>
      <c r="R698" s="3">
        <f t="shared" si="60"/>
        <v>7.3890912847588913E-5</v>
      </c>
      <c r="S698" s="3">
        <f t="shared" si="62"/>
        <v>0.21137371518171474</v>
      </c>
      <c r="T698" s="20">
        <f t="shared" si="63"/>
        <v>0.29556365139035568</v>
      </c>
      <c r="U698" s="20">
        <v>290.76692515588104</v>
      </c>
    </row>
    <row r="699" spans="15:21" x14ac:dyDescent="0.35">
      <c r="O699" s="18">
        <v>5</v>
      </c>
      <c r="P699" s="18">
        <f t="shared" si="61"/>
        <v>3485</v>
      </c>
      <c r="Q699" s="3">
        <f t="shared" si="64"/>
        <v>1.4745743700362553E-5</v>
      </c>
      <c r="R699" s="3">
        <f t="shared" si="60"/>
        <v>7.3728718501812771E-5</v>
      </c>
      <c r="S699" s="3">
        <f t="shared" si="62"/>
        <v>0.21144760609456234</v>
      </c>
      <c r="T699" s="20">
        <f t="shared" si="63"/>
        <v>0.29491487400725103</v>
      </c>
      <c r="U699" s="20">
        <v>290.76347831918036</v>
      </c>
    </row>
    <row r="700" spans="15:21" x14ac:dyDescent="0.35">
      <c r="O700" s="18">
        <v>5</v>
      </c>
      <c r="P700" s="18">
        <f t="shared" si="61"/>
        <v>3490</v>
      </c>
      <c r="Q700" s="3">
        <f t="shared" si="64"/>
        <v>1.4713394306602339E-5</v>
      </c>
      <c r="R700" s="3">
        <f t="shared" si="60"/>
        <v>7.3566971533011694E-5</v>
      </c>
      <c r="S700" s="3">
        <f t="shared" si="62"/>
        <v>0.21152133481306415</v>
      </c>
      <c r="T700" s="20">
        <f t="shared" si="63"/>
        <v>0.2942678861320468</v>
      </c>
      <c r="U700" s="20">
        <v>290.76004100697844</v>
      </c>
    </row>
    <row r="701" spans="15:21" x14ac:dyDescent="0.35">
      <c r="O701" s="18">
        <v>5</v>
      </c>
      <c r="P701" s="18">
        <f t="shared" si="61"/>
        <v>3495</v>
      </c>
      <c r="Q701" s="3">
        <f t="shared" si="64"/>
        <v>1.4681134056284623E-5</v>
      </c>
      <c r="R701" s="3">
        <f t="shared" si="60"/>
        <v>7.3405670281423118E-5</v>
      </c>
      <c r="S701" s="3">
        <f t="shared" si="62"/>
        <v>0.21159490178459717</v>
      </c>
      <c r="T701" s="20">
        <f t="shared" si="63"/>
        <v>0.29362268112569251</v>
      </c>
      <c r="U701" s="20">
        <v>290.7566131348255</v>
      </c>
    </row>
    <row r="702" spans="15:21" x14ac:dyDescent="0.35">
      <c r="O702" s="18">
        <v>5</v>
      </c>
      <c r="P702" s="18">
        <f t="shared" si="61"/>
        <v>3500</v>
      </c>
      <c r="Q702" s="3">
        <f t="shared" si="64"/>
        <v>1.4648962619109389E-5</v>
      </c>
      <c r="R702" s="3">
        <f t="shared" si="60"/>
        <v>7.3244813095546952E-5</v>
      </c>
      <c r="S702" s="3">
        <f t="shared" si="62"/>
        <v>0.21166830745487858</v>
      </c>
      <c r="T702" s="20">
        <f t="shared" si="63"/>
        <v>0.2929792523821878</v>
      </c>
      <c r="U702" s="20">
        <v>290.75319470731785</v>
      </c>
    </row>
    <row r="703" spans="15:21" x14ac:dyDescent="0.35">
      <c r="O703" s="18">
        <v>5</v>
      </c>
      <c r="P703" s="18">
        <f t="shared" si="61"/>
        <v>3505</v>
      </c>
      <c r="Q703" s="3">
        <f t="shared" si="64"/>
        <v>1.4616879666418574E-5</v>
      </c>
      <c r="R703" s="3">
        <f t="shared" si="60"/>
        <v>7.3084398332092863E-5</v>
      </c>
      <c r="S703" s="3">
        <f t="shared" si="62"/>
        <v>0.21174155226797411</v>
      </c>
      <c r="T703" s="20">
        <f t="shared" si="63"/>
        <v>0.2923375933283715</v>
      </c>
      <c r="U703" s="20">
        <v>290.74978566765583</v>
      </c>
    </row>
    <row r="704" spans="15:21" x14ac:dyDescent="0.35">
      <c r="O704" s="18">
        <v>5</v>
      </c>
      <c r="P704" s="18">
        <f t="shared" si="61"/>
        <v>3510</v>
      </c>
      <c r="Q704" s="3">
        <f t="shared" si="64"/>
        <v>1.4584884871185647E-5</v>
      </c>
      <c r="R704" s="3">
        <f t="shared" si="60"/>
        <v>7.292442435592824E-5</v>
      </c>
      <c r="S704" s="3">
        <f t="shared" si="62"/>
        <v>0.21181463666630621</v>
      </c>
      <c r="T704" s="20">
        <f t="shared" si="63"/>
        <v>0.29169769742371299</v>
      </c>
      <c r="U704" s="20">
        <v>290.74638598934803</v>
      </c>
    </row>
    <row r="705" spans="15:21" x14ac:dyDescent="0.35">
      <c r="O705" s="18">
        <v>5</v>
      </c>
      <c r="P705" s="18">
        <f t="shared" si="61"/>
        <v>3515</v>
      </c>
      <c r="Q705" s="3">
        <f t="shared" si="64"/>
        <v>1.4552977908005253E-5</v>
      </c>
      <c r="R705" s="3">
        <f t="shared" si="60"/>
        <v>7.2764889540026271E-5</v>
      </c>
      <c r="S705" s="3">
        <f t="shared" si="62"/>
        <v>0.21188756109066215</v>
      </c>
      <c r="T705" s="20">
        <f t="shared" si="63"/>
        <v>0.29105955816010504</v>
      </c>
      <c r="U705" s="20">
        <v>290.74299563466036</v>
      </c>
    </row>
    <row r="706" spans="15:21" x14ac:dyDescent="0.35">
      <c r="O706" s="18">
        <v>5</v>
      </c>
      <c r="P706" s="18">
        <f t="shared" si="61"/>
        <v>3520</v>
      </c>
      <c r="Q706" s="3">
        <f t="shared" si="64"/>
        <v>1.4521158453082957E-5</v>
      </c>
      <c r="R706" s="3">
        <f t="shared" ref="R706:R769" si="65">Q706*O706</f>
        <v>7.2605792265414786E-5</v>
      </c>
      <c r="S706" s="3">
        <f t="shared" si="62"/>
        <v>0.21196032598020217</v>
      </c>
      <c r="T706" s="20">
        <f t="shared" si="63"/>
        <v>0.29042316906165916</v>
      </c>
      <c r="U706" s="20">
        <v>290.7396145768011</v>
      </c>
    </row>
    <row r="707" spans="15:21" x14ac:dyDescent="0.35">
      <c r="O707" s="18">
        <v>5</v>
      </c>
      <c r="P707" s="18">
        <f t="shared" ref="P707:P770" si="66">O707+P706</f>
        <v>3525</v>
      </c>
      <c r="Q707" s="3">
        <f t="shared" si="64"/>
        <v>1.4489426184225009E-5</v>
      </c>
      <c r="R707" s="3">
        <f t="shared" si="65"/>
        <v>7.2447130921125049E-5</v>
      </c>
      <c r="S707" s="3">
        <f t="shared" ref="S707:S770" si="67">S706+R706</f>
        <v>0.2120329317724676</v>
      </c>
      <c r="T707" s="20">
        <f t="shared" ref="T707:T770" si="68">Q707*$B$9*$B$2*0.5/$B$11</f>
        <v>0.28978852368450014</v>
      </c>
      <c r="U707" s="20">
        <v>290.73624277156426</v>
      </c>
    </row>
    <row r="708" spans="15:21" x14ac:dyDescent="0.35">
      <c r="O708" s="18">
        <v>5</v>
      </c>
      <c r="P708" s="18">
        <f t="shared" si="66"/>
        <v>3530</v>
      </c>
      <c r="Q708" s="3">
        <f t="shared" ref="Q708:Q771" si="69">$T$2*(1-(S708/$B$12))/($B$9*((0.5*$B$2/$B$11)+(S708/$B$10)))</f>
        <v>1.4457780780828262E-5</v>
      </c>
      <c r="R708" s="3">
        <f t="shared" si="65"/>
        <v>7.2288903904141311E-5</v>
      </c>
      <c r="S708" s="3">
        <f t="shared" si="67"/>
        <v>0.21210537890338874</v>
      </c>
      <c r="T708" s="20">
        <f t="shared" si="68"/>
        <v>0.28915561561656528</v>
      </c>
      <c r="U708" s="20">
        <v>290.73288018381288</v>
      </c>
    </row>
    <row r="709" spans="15:21" x14ac:dyDescent="0.35">
      <c r="O709" s="18">
        <v>5</v>
      </c>
      <c r="P709" s="18">
        <f t="shared" si="66"/>
        <v>3535</v>
      </c>
      <c r="Q709" s="3">
        <f t="shared" si="69"/>
        <v>1.442622192387013E-5</v>
      </c>
      <c r="R709" s="3">
        <f t="shared" si="65"/>
        <v>7.2131109619350643E-5</v>
      </c>
      <c r="S709" s="3">
        <f t="shared" si="67"/>
        <v>0.21217766780729289</v>
      </c>
      <c r="T709" s="20">
        <f t="shared" si="68"/>
        <v>0.28852443847740261</v>
      </c>
      <c r="U709" s="20">
        <v>290.72952679581289</v>
      </c>
    </row>
    <row r="710" spans="15:21" x14ac:dyDescent="0.35">
      <c r="O710" s="18">
        <v>5</v>
      </c>
      <c r="P710" s="18">
        <f t="shared" si="66"/>
        <v>3540</v>
      </c>
      <c r="Q710" s="3">
        <f t="shared" si="69"/>
        <v>1.4394749295898607E-5</v>
      </c>
      <c r="R710" s="3">
        <f t="shared" si="65"/>
        <v>7.1973746479493043E-5</v>
      </c>
      <c r="S710" s="3">
        <f t="shared" si="67"/>
        <v>0.21224979891691223</v>
      </c>
      <c r="T710" s="20">
        <f t="shared" si="68"/>
        <v>0.28789498591797213</v>
      </c>
      <c r="U710" s="20">
        <v>290.72618256278486</v>
      </c>
    </row>
    <row r="711" spans="15:21" x14ac:dyDescent="0.35">
      <c r="O711" s="18">
        <v>5</v>
      </c>
      <c r="P711" s="18">
        <f t="shared" si="66"/>
        <v>3545</v>
      </c>
      <c r="Q711" s="3">
        <f t="shared" si="69"/>
        <v>1.4363362581022397E-5</v>
      </c>
      <c r="R711" s="3">
        <f t="shared" si="65"/>
        <v>7.181681290511199E-5</v>
      </c>
      <c r="S711" s="3">
        <f t="shared" si="67"/>
        <v>0.21232177266339172</v>
      </c>
      <c r="T711" s="20">
        <f t="shared" si="68"/>
        <v>0.28726725162044792</v>
      </c>
      <c r="U711" s="20">
        <v>290.72284743973506</v>
      </c>
    </row>
    <row r="712" spans="15:21" x14ac:dyDescent="0.35">
      <c r="O712" s="18">
        <v>5</v>
      </c>
      <c r="P712" s="18">
        <f t="shared" si="66"/>
        <v>3550</v>
      </c>
      <c r="Q712" s="3">
        <f t="shared" si="69"/>
        <v>1.4332061464901104E-5</v>
      </c>
      <c r="R712" s="3">
        <f t="shared" si="65"/>
        <v>7.1660307324505513E-5</v>
      </c>
      <c r="S712" s="3">
        <f t="shared" si="67"/>
        <v>0.21239358947629683</v>
      </c>
      <c r="T712" s="20">
        <f t="shared" si="68"/>
        <v>0.28664122929802205</v>
      </c>
      <c r="U712" s="20">
        <v>290.71952140354489</v>
      </c>
    </row>
    <row r="713" spans="15:21" x14ac:dyDescent="0.35">
      <c r="O713" s="18">
        <v>5</v>
      </c>
      <c r="P713" s="18">
        <f t="shared" si="66"/>
        <v>3555</v>
      </c>
      <c r="Q713" s="3">
        <f t="shared" si="69"/>
        <v>1.43008456347355E-5</v>
      </c>
      <c r="R713" s="3">
        <f t="shared" si="65"/>
        <v>7.1504228173677501E-5</v>
      </c>
      <c r="S713" s="3">
        <f t="shared" si="67"/>
        <v>0.21246524978362133</v>
      </c>
      <c r="T713" s="20">
        <f t="shared" si="68"/>
        <v>0.28601691269470997</v>
      </c>
      <c r="U713" s="20">
        <v>290.71620442850298</v>
      </c>
    </row>
    <row r="714" spans="15:21" x14ac:dyDescent="0.35">
      <c r="O714" s="18">
        <v>5</v>
      </c>
      <c r="P714" s="18">
        <f t="shared" si="66"/>
        <v>3560</v>
      </c>
      <c r="Q714" s="3">
        <f t="shared" si="69"/>
        <v>1.4269714779257858E-5</v>
      </c>
      <c r="R714" s="3">
        <f t="shared" si="65"/>
        <v>7.1348573896289291E-5</v>
      </c>
      <c r="S714" s="3">
        <f t="shared" si="67"/>
        <v>0.212536754011795</v>
      </c>
      <c r="T714" s="20">
        <f t="shared" si="68"/>
        <v>0.28539429558515717</v>
      </c>
      <c r="U714" s="20">
        <v>290.71289647904916</v>
      </c>
    </row>
    <row r="715" spans="15:21" x14ac:dyDescent="0.35">
      <c r="O715" s="18">
        <v>5</v>
      </c>
      <c r="P715" s="18">
        <f t="shared" si="66"/>
        <v>3565</v>
      </c>
      <c r="Q715" s="3">
        <f t="shared" si="69"/>
        <v>1.423866858872238E-5</v>
      </c>
      <c r="R715" s="3">
        <f t="shared" si="65"/>
        <v>7.1193342943611898E-5</v>
      </c>
      <c r="S715" s="3">
        <f t="shared" si="67"/>
        <v>0.21260810258569129</v>
      </c>
      <c r="T715" s="20">
        <f t="shared" si="68"/>
        <v>0.28477337177444756</v>
      </c>
      <c r="U715" s="20">
        <v>290.70959751576777</v>
      </c>
    </row>
    <row r="716" spans="15:21" x14ac:dyDescent="0.35">
      <c r="O716" s="18">
        <v>5</v>
      </c>
      <c r="P716" s="18">
        <f t="shared" si="66"/>
        <v>3570</v>
      </c>
      <c r="Q716" s="3">
        <f t="shared" si="69"/>
        <v>1.4207706754895672E-5</v>
      </c>
      <c r="R716" s="3">
        <f t="shared" si="65"/>
        <v>7.1038533774478359E-5</v>
      </c>
      <c r="S716" s="3">
        <f t="shared" si="67"/>
        <v>0.21267929592863491</v>
      </c>
      <c r="T716" s="20">
        <f t="shared" si="68"/>
        <v>0.28415413509791349</v>
      </c>
      <c r="U716" s="20">
        <v>290.70630751165419</v>
      </c>
    </row>
    <row r="717" spans="15:21" x14ac:dyDescent="0.35">
      <c r="O717" s="18">
        <v>5</v>
      </c>
      <c r="P717" s="18">
        <f t="shared" si="66"/>
        <v>3575</v>
      </c>
      <c r="Q717" s="3">
        <f t="shared" si="69"/>
        <v>1.4176828971047327E-5</v>
      </c>
      <c r="R717" s="3">
        <f t="shared" si="65"/>
        <v>7.0884144855236632E-5</v>
      </c>
      <c r="S717" s="3">
        <f t="shared" si="67"/>
        <v>0.21275033446240937</v>
      </c>
      <c r="T717" s="20">
        <f t="shared" si="68"/>
        <v>0.28353657942094657</v>
      </c>
      <c r="U717" s="20">
        <v>290.70302643091475</v>
      </c>
    </row>
    <row r="718" spans="15:21" x14ac:dyDescent="0.35">
      <c r="O718" s="18">
        <v>5</v>
      </c>
      <c r="P718" s="18">
        <f t="shared" si="66"/>
        <v>3580</v>
      </c>
      <c r="Q718" s="3">
        <f t="shared" si="69"/>
        <v>1.4146034931940502E-5</v>
      </c>
      <c r="R718" s="3">
        <f t="shared" si="65"/>
        <v>7.0730174659702508E-5</v>
      </c>
      <c r="S718" s="3">
        <f t="shared" si="67"/>
        <v>0.21282121860726461</v>
      </c>
      <c r="T718" s="20">
        <f t="shared" si="68"/>
        <v>0.28292069863881003</v>
      </c>
      <c r="U718" s="20">
        <v>290.69975423463484</v>
      </c>
    </row>
    <row r="719" spans="15:21" x14ac:dyDescent="0.35">
      <c r="O719" s="18">
        <v>5</v>
      </c>
      <c r="P719" s="18">
        <f t="shared" si="66"/>
        <v>3585</v>
      </c>
      <c r="Q719" s="3">
        <f t="shared" si="69"/>
        <v>1.4115324333822699E-5</v>
      </c>
      <c r="R719" s="3">
        <f t="shared" si="65"/>
        <v>7.0576621669113496E-5</v>
      </c>
      <c r="S719" s="3">
        <f t="shared" si="67"/>
        <v>0.2128919487819243</v>
      </c>
      <c r="T719" s="20">
        <f t="shared" si="68"/>
        <v>0.28230648667645397</v>
      </c>
      <c r="U719" s="20">
        <v>290.69649089918568</v>
      </c>
    </row>
    <row r="720" spans="15:21" x14ac:dyDescent="0.35">
      <c r="O720" s="18">
        <v>5</v>
      </c>
      <c r="P720" s="18">
        <f t="shared" si="66"/>
        <v>3590</v>
      </c>
      <c r="Q720" s="3">
        <f t="shared" si="69"/>
        <v>1.4084696874416472E-5</v>
      </c>
      <c r="R720" s="3">
        <f t="shared" si="65"/>
        <v>7.042348437208236E-5</v>
      </c>
      <c r="S720" s="3">
        <f t="shared" si="67"/>
        <v>0.21296252540359342</v>
      </c>
      <c r="T720" s="20">
        <f t="shared" si="68"/>
        <v>0.28169393748832944</v>
      </c>
      <c r="U720" s="20">
        <v>290.69323640513534</v>
      </c>
    </row>
    <row r="721" spans="15:21" x14ac:dyDescent="0.35">
      <c r="O721" s="18">
        <v>5</v>
      </c>
      <c r="P721" s="18">
        <f t="shared" si="66"/>
        <v>3595</v>
      </c>
      <c r="Q721" s="3">
        <f t="shared" si="69"/>
        <v>1.4054152252910322E-5</v>
      </c>
      <c r="R721" s="3">
        <f t="shared" si="65"/>
        <v>7.0270761264551603E-5</v>
      </c>
      <c r="S721" s="3">
        <f t="shared" si="67"/>
        <v>0.21303294888796551</v>
      </c>
      <c r="T721" s="20">
        <f t="shared" si="68"/>
        <v>0.28108304505820647</v>
      </c>
      <c r="U721" s="20">
        <v>290.68999068640272</v>
      </c>
    </row>
    <row r="722" spans="15:21" x14ac:dyDescent="0.35">
      <c r="O722" s="18">
        <v>5</v>
      </c>
      <c r="P722" s="18">
        <f t="shared" si="66"/>
        <v>3600</v>
      </c>
      <c r="Q722" s="3">
        <f t="shared" si="69"/>
        <v>1.402369016994957E-5</v>
      </c>
      <c r="R722" s="3">
        <f t="shared" si="65"/>
        <v>7.0118450849747843E-5</v>
      </c>
      <c r="S722" s="3">
        <f t="shared" si="67"/>
        <v>0.21310321964923007</v>
      </c>
      <c r="T722" s="20">
        <f t="shared" si="68"/>
        <v>0.28047380339899136</v>
      </c>
      <c r="U722" s="20">
        <v>290.68675373908059</v>
      </c>
    </row>
    <row r="723" spans="15:21" x14ac:dyDescent="0.35">
      <c r="O723" s="18">
        <v>5</v>
      </c>
      <c r="P723" s="18">
        <f t="shared" si="66"/>
        <v>3605</v>
      </c>
      <c r="Q723" s="3">
        <f t="shared" si="69"/>
        <v>1.3993310327627364E-5</v>
      </c>
      <c r="R723" s="3">
        <f t="shared" si="65"/>
        <v>6.9966551638136822E-5</v>
      </c>
      <c r="S723" s="3">
        <f t="shared" si="67"/>
        <v>0.21317333810007982</v>
      </c>
      <c r="T723" s="20">
        <f t="shared" si="68"/>
        <v>0.27986620655254729</v>
      </c>
      <c r="U723" s="20">
        <v>290.68352552515489</v>
      </c>
    </row>
    <row r="724" spans="15:21" x14ac:dyDescent="0.35">
      <c r="O724" s="18">
        <v>5</v>
      </c>
      <c r="P724" s="18">
        <f t="shared" si="66"/>
        <v>3610</v>
      </c>
      <c r="Q724" s="3">
        <f t="shared" si="69"/>
        <v>1.3963012429475719E-5</v>
      </c>
      <c r="R724" s="3">
        <f t="shared" si="65"/>
        <v>6.9815062147378601E-5</v>
      </c>
      <c r="S724" s="3">
        <f t="shared" si="67"/>
        <v>0.21324330465171795</v>
      </c>
      <c r="T724" s="20">
        <f t="shared" si="68"/>
        <v>0.27926024858951443</v>
      </c>
      <c r="U724" s="20">
        <v>290.68030602412074</v>
      </c>
    </row>
    <row r="725" spans="15:21" x14ac:dyDescent="0.35">
      <c r="O725" s="18">
        <v>5</v>
      </c>
      <c r="P725" s="18">
        <f t="shared" si="66"/>
        <v>3615</v>
      </c>
      <c r="Q725" s="3">
        <f t="shared" si="69"/>
        <v>1.393279618045664E-5</v>
      </c>
      <c r="R725" s="3">
        <f t="shared" si="65"/>
        <v>6.96639809022832E-5</v>
      </c>
      <c r="S725" s="3">
        <f t="shared" si="67"/>
        <v>0.21331311971386532</v>
      </c>
      <c r="T725" s="20">
        <f t="shared" si="68"/>
        <v>0.27865592360913277</v>
      </c>
      <c r="U725" s="20">
        <v>290.67709518007501</v>
      </c>
    </row>
    <row r="726" spans="15:21" x14ac:dyDescent="0.35">
      <c r="O726" s="18">
        <v>5</v>
      </c>
      <c r="P726" s="18">
        <f t="shared" si="66"/>
        <v>3620</v>
      </c>
      <c r="Q726" s="3">
        <f t="shared" si="69"/>
        <v>1.3902661286953287E-5</v>
      </c>
      <c r="R726" s="3">
        <f t="shared" si="65"/>
        <v>6.9513306434766434E-5</v>
      </c>
      <c r="S726" s="3">
        <f t="shared" si="67"/>
        <v>0.2133827836947676</v>
      </c>
      <c r="T726" s="20">
        <f t="shared" si="68"/>
        <v>0.27805322573906571</v>
      </c>
      <c r="U726" s="20">
        <v>290.67389296493303</v>
      </c>
    </row>
    <row r="727" spans="15:21" x14ac:dyDescent="0.35">
      <c r="O727" s="18">
        <v>5</v>
      </c>
      <c r="P727" s="18">
        <f t="shared" si="66"/>
        <v>3625</v>
      </c>
      <c r="Q727" s="3">
        <f t="shared" si="69"/>
        <v>1.3872607456761257E-5</v>
      </c>
      <c r="R727" s="3">
        <f t="shared" si="65"/>
        <v>6.9363037283806284E-5</v>
      </c>
      <c r="S727" s="3">
        <f t="shared" si="67"/>
        <v>0.21345229700120236</v>
      </c>
      <c r="T727" s="20">
        <f t="shared" si="68"/>
        <v>0.27745214913522515</v>
      </c>
      <c r="U727" s="20">
        <v>290.67069937683596</v>
      </c>
    </row>
    <row r="728" spans="15:21" x14ac:dyDescent="0.35">
      <c r="O728" s="18">
        <v>5</v>
      </c>
      <c r="P728" s="18">
        <f t="shared" si="66"/>
        <v>3630</v>
      </c>
      <c r="Q728" s="3">
        <f t="shared" si="69"/>
        <v>1.3842634399079875E-5</v>
      </c>
      <c r="R728" s="3">
        <f t="shared" si="65"/>
        <v>6.9213171995399371E-5</v>
      </c>
      <c r="S728" s="3">
        <f t="shared" si="67"/>
        <v>0.21352166003848616</v>
      </c>
      <c r="T728" s="20">
        <f t="shared" si="68"/>
        <v>0.27685268798159751</v>
      </c>
      <c r="U728" s="20">
        <v>290.66751435108711</v>
      </c>
    </row>
    <row r="729" spans="15:21" x14ac:dyDescent="0.35">
      <c r="O729" s="18">
        <v>5</v>
      </c>
      <c r="P729" s="18">
        <f t="shared" si="66"/>
        <v>3635</v>
      </c>
      <c r="Q729" s="3">
        <f t="shared" si="69"/>
        <v>1.3812741824503585E-5</v>
      </c>
      <c r="R729" s="3">
        <f t="shared" si="65"/>
        <v>6.9063709122517921E-5</v>
      </c>
      <c r="S729" s="3">
        <f t="shared" si="67"/>
        <v>0.21359087321048156</v>
      </c>
      <c r="T729" s="20">
        <f t="shared" si="68"/>
        <v>0.27625483649007171</v>
      </c>
      <c r="U729" s="20">
        <v>290.66433786369902</v>
      </c>
    </row>
    <row r="730" spans="15:21" x14ac:dyDescent="0.35">
      <c r="O730" s="18">
        <v>5</v>
      </c>
      <c r="P730" s="18">
        <f t="shared" si="66"/>
        <v>3640</v>
      </c>
      <c r="Q730" s="3">
        <f t="shared" si="69"/>
        <v>1.3782929445013408E-5</v>
      </c>
      <c r="R730" s="3">
        <f t="shared" si="65"/>
        <v>6.8914647225067036E-5</v>
      </c>
      <c r="S730" s="3">
        <f t="shared" si="67"/>
        <v>0.21365993691960408</v>
      </c>
      <c r="T730" s="20">
        <f t="shared" si="68"/>
        <v>0.27565858890026818</v>
      </c>
      <c r="U730" s="20">
        <v>290.66116990463098</v>
      </c>
    </row>
    <row r="731" spans="15:21" x14ac:dyDescent="0.35">
      <c r="O731" s="18">
        <v>5</v>
      </c>
      <c r="P731" s="18">
        <f t="shared" si="66"/>
        <v>3645</v>
      </c>
      <c r="Q731" s="3">
        <f t="shared" si="69"/>
        <v>1.3753196973968429E-5</v>
      </c>
      <c r="R731" s="3">
        <f t="shared" si="65"/>
        <v>6.8765984869842143E-5</v>
      </c>
      <c r="S731" s="3">
        <f t="shared" si="67"/>
        <v>0.21372885156682914</v>
      </c>
      <c r="T731" s="20">
        <f t="shared" si="68"/>
        <v>0.27506393947936858</v>
      </c>
      <c r="U731" s="20"/>
    </row>
    <row r="732" spans="15:21" x14ac:dyDescent="0.35">
      <c r="O732" s="18">
        <v>5</v>
      </c>
      <c r="P732" s="18">
        <f t="shared" si="66"/>
        <v>3650</v>
      </c>
      <c r="Q732" s="3">
        <f t="shared" si="69"/>
        <v>1.3723544126097367E-5</v>
      </c>
      <c r="R732" s="3">
        <f t="shared" si="65"/>
        <v>6.8617720630486826E-5</v>
      </c>
      <c r="S732" s="3">
        <f t="shared" si="67"/>
        <v>0.21379761755169899</v>
      </c>
      <c r="T732" s="20">
        <f t="shared" si="68"/>
        <v>0.27447088252194735</v>
      </c>
      <c r="U732" s="20"/>
    </row>
    <row r="733" spans="15:21" x14ac:dyDescent="0.35">
      <c r="O733" s="18">
        <v>5</v>
      </c>
      <c r="P733" s="18">
        <f t="shared" si="66"/>
        <v>3655</v>
      </c>
      <c r="Q733" s="3">
        <f t="shared" si="69"/>
        <v>1.3693970617490247E-5</v>
      </c>
      <c r="R733" s="3">
        <f t="shared" si="65"/>
        <v>6.8469853087451237E-5</v>
      </c>
      <c r="S733" s="3">
        <f t="shared" si="67"/>
        <v>0.21386623527232948</v>
      </c>
      <c r="T733" s="20">
        <f t="shared" si="68"/>
        <v>0.2738794123498049</v>
      </c>
      <c r="U733" s="20"/>
    </row>
    <row r="734" spans="15:21" x14ac:dyDescent="0.35">
      <c r="O734" s="18">
        <v>5</v>
      </c>
      <c r="P734" s="18">
        <f t="shared" si="66"/>
        <v>3660</v>
      </c>
      <c r="Q734" s="3">
        <f t="shared" si="69"/>
        <v>1.3664476165590073E-5</v>
      </c>
      <c r="R734" s="3">
        <f t="shared" si="65"/>
        <v>6.8322380827950366E-5</v>
      </c>
      <c r="S734" s="3">
        <f t="shared" si="67"/>
        <v>0.21393470512541693</v>
      </c>
      <c r="T734" s="20">
        <f t="shared" si="68"/>
        <v>0.27328952331180145</v>
      </c>
      <c r="U734" s="20"/>
    </row>
    <row r="735" spans="15:21" x14ac:dyDescent="0.35">
      <c r="O735" s="18">
        <v>5</v>
      </c>
      <c r="P735" s="18">
        <f t="shared" si="66"/>
        <v>3665</v>
      </c>
      <c r="Q735" s="3">
        <f t="shared" si="69"/>
        <v>1.3635060489184573E-5</v>
      </c>
      <c r="R735" s="3">
        <f t="shared" si="65"/>
        <v>6.817530244592287E-5</v>
      </c>
      <c r="S735" s="3">
        <f t="shared" si="67"/>
        <v>0.21400302750624489</v>
      </c>
      <c r="T735" s="20">
        <f t="shared" si="68"/>
        <v>0.2727012097836915</v>
      </c>
      <c r="U735" s="20"/>
    </row>
    <row r="736" spans="15:21" x14ac:dyDescent="0.35">
      <c r="O736" s="18">
        <v>5</v>
      </c>
      <c r="P736" s="18">
        <f t="shared" si="66"/>
        <v>3670</v>
      </c>
      <c r="Q736" s="3">
        <f t="shared" si="69"/>
        <v>1.3605723308398052E-5</v>
      </c>
      <c r="R736" s="3">
        <f t="shared" si="65"/>
        <v>6.8028616541990265E-5</v>
      </c>
      <c r="S736" s="3">
        <f t="shared" si="67"/>
        <v>0.21407120280869082</v>
      </c>
      <c r="T736" s="20">
        <f t="shared" si="68"/>
        <v>0.27211446616796109</v>
      </c>
      <c r="U736" s="20"/>
    </row>
    <row r="737" spans="15:21" x14ac:dyDescent="0.35">
      <c r="O737" s="18">
        <v>5</v>
      </c>
      <c r="P737" s="18">
        <f t="shared" si="66"/>
        <v>3675</v>
      </c>
      <c r="Q737" s="3">
        <f t="shared" si="69"/>
        <v>1.3576464344683269E-5</v>
      </c>
      <c r="R737" s="3">
        <f t="shared" si="65"/>
        <v>6.7882321723416339E-5</v>
      </c>
      <c r="S737" s="3">
        <f t="shared" si="67"/>
        <v>0.21413923142523281</v>
      </c>
      <c r="T737" s="20">
        <f t="shared" si="68"/>
        <v>0.2715292868936654</v>
      </c>
      <c r="U737" s="20"/>
    </row>
    <row r="738" spans="15:21" x14ac:dyDescent="0.35">
      <c r="O738" s="18">
        <v>5</v>
      </c>
      <c r="P738" s="18">
        <f t="shared" si="66"/>
        <v>3680</v>
      </c>
      <c r="Q738" s="3">
        <f t="shared" si="69"/>
        <v>1.3547283320813346E-5</v>
      </c>
      <c r="R738" s="3">
        <f t="shared" si="65"/>
        <v>6.7736416604066731E-5</v>
      </c>
      <c r="S738" s="3">
        <f t="shared" si="67"/>
        <v>0.21420711374695622</v>
      </c>
      <c r="T738" s="20">
        <f t="shared" si="68"/>
        <v>0.27094566641626688</v>
      </c>
      <c r="U738" s="20"/>
    </row>
    <row r="739" spans="15:21" x14ac:dyDescent="0.35">
      <c r="O739" s="18">
        <v>5</v>
      </c>
      <c r="P739" s="18">
        <f t="shared" si="66"/>
        <v>3685</v>
      </c>
      <c r="Q739" s="3">
        <f t="shared" si="69"/>
        <v>1.3518179960873802E-5</v>
      </c>
      <c r="R739" s="3">
        <f t="shared" si="65"/>
        <v>6.7590899804369017E-5</v>
      </c>
      <c r="S739" s="3">
        <f t="shared" si="67"/>
        <v>0.21427485016356029</v>
      </c>
      <c r="T739" s="20">
        <f t="shared" si="68"/>
        <v>0.27036359921747605</v>
      </c>
      <c r="U739" s="20"/>
    </row>
    <row r="740" spans="15:21" x14ac:dyDescent="0.35">
      <c r="O740" s="18">
        <v>5</v>
      </c>
      <c r="P740" s="18">
        <f t="shared" si="66"/>
        <v>3690</v>
      </c>
      <c r="Q740" s="3">
        <f t="shared" si="69"/>
        <v>1.3489153990254612E-5</v>
      </c>
      <c r="R740" s="3">
        <f t="shared" si="65"/>
        <v>6.7445769951273056E-5</v>
      </c>
      <c r="S740" s="3">
        <f t="shared" si="67"/>
        <v>0.21434244106336467</v>
      </c>
      <c r="T740" s="20">
        <f t="shared" si="68"/>
        <v>0.26978307980509225</v>
      </c>
      <c r="U740" s="20"/>
    </row>
    <row r="741" spans="15:21" x14ac:dyDescent="0.35">
      <c r="O741" s="18">
        <v>5</v>
      </c>
      <c r="P741" s="18">
        <f t="shared" si="66"/>
        <v>3695</v>
      </c>
      <c r="Q741" s="3">
        <f t="shared" si="69"/>
        <v>1.3460205135642317E-5</v>
      </c>
      <c r="R741" s="3">
        <f t="shared" si="65"/>
        <v>6.730102567821159E-5</v>
      </c>
      <c r="S741" s="3">
        <f t="shared" si="67"/>
        <v>0.21440988683331594</v>
      </c>
      <c r="T741" s="20">
        <f t="shared" si="68"/>
        <v>0.26920410271284634</v>
      </c>
      <c r="U741" s="20"/>
    </row>
    <row r="742" spans="15:21" x14ac:dyDescent="0.35">
      <c r="O742" s="18">
        <v>5</v>
      </c>
      <c r="P742" s="18">
        <f t="shared" si="66"/>
        <v>3700</v>
      </c>
      <c r="Q742" s="3">
        <f t="shared" si="69"/>
        <v>1.3431333125012203E-5</v>
      </c>
      <c r="R742" s="3">
        <f t="shared" si="65"/>
        <v>6.7156665625061016E-5</v>
      </c>
      <c r="S742" s="3">
        <f t="shared" si="67"/>
        <v>0.21447718785899414</v>
      </c>
      <c r="T742" s="20">
        <f t="shared" si="68"/>
        <v>0.26862666250024403</v>
      </c>
      <c r="U742" s="20"/>
    </row>
    <row r="743" spans="15:21" x14ac:dyDescent="0.35">
      <c r="O743" s="18">
        <v>5</v>
      </c>
      <c r="P743" s="18">
        <f t="shared" si="66"/>
        <v>3705</v>
      </c>
      <c r="Q743" s="3">
        <f t="shared" si="69"/>
        <v>1.340253768762052E-5</v>
      </c>
      <c r="R743" s="3">
        <f t="shared" si="65"/>
        <v>6.7012688438102601E-5</v>
      </c>
      <c r="S743" s="3">
        <f t="shared" si="67"/>
        <v>0.21454434452461921</v>
      </c>
      <c r="T743" s="20">
        <f t="shared" si="68"/>
        <v>0.26805075375241044</v>
      </c>
      <c r="U743" s="20"/>
    </row>
    <row r="744" spans="15:21" x14ac:dyDescent="0.35">
      <c r="O744" s="18">
        <v>5</v>
      </c>
      <c r="P744" s="18">
        <f t="shared" si="66"/>
        <v>3710</v>
      </c>
      <c r="Q744" s="3">
        <f t="shared" si="69"/>
        <v>1.3373818553996824E-5</v>
      </c>
      <c r="R744" s="3">
        <f t="shared" si="65"/>
        <v>6.6869092769984118E-5</v>
      </c>
      <c r="S744" s="3">
        <f t="shared" si="67"/>
        <v>0.2146113572130573</v>
      </c>
      <c r="T744" s="20">
        <f t="shared" si="68"/>
        <v>0.26747637107993649</v>
      </c>
      <c r="U744" s="20"/>
    </row>
    <row r="745" spans="15:21" x14ac:dyDescent="0.35">
      <c r="O745" s="18">
        <v>5</v>
      </c>
      <c r="P745" s="18">
        <f t="shared" si="66"/>
        <v>3715</v>
      </c>
      <c r="Q745" s="3">
        <f t="shared" si="69"/>
        <v>1.334517545593626E-5</v>
      </c>
      <c r="R745" s="3">
        <f t="shared" si="65"/>
        <v>6.6725877279681309E-5</v>
      </c>
      <c r="S745" s="3">
        <f t="shared" si="67"/>
        <v>0.21467822630582728</v>
      </c>
      <c r="T745" s="20">
        <f t="shared" si="68"/>
        <v>0.26690350911872524</v>
      </c>
      <c r="U745" s="20"/>
    </row>
    <row r="746" spans="15:21" x14ac:dyDescent="0.35">
      <c r="O746" s="18">
        <v>5</v>
      </c>
      <c r="P746" s="18">
        <f t="shared" si="66"/>
        <v>3720</v>
      </c>
      <c r="Q746" s="3">
        <f t="shared" si="69"/>
        <v>1.331660812649201E-5</v>
      </c>
      <c r="R746" s="3">
        <f t="shared" si="65"/>
        <v>6.6583040632460053E-5</v>
      </c>
      <c r="S746" s="3">
        <f t="shared" si="67"/>
        <v>0.21474495218310696</v>
      </c>
      <c r="T746" s="20">
        <f t="shared" si="68"/>
        <v>0.26633216252984021</v>
      </c>
      <c r="U746" s="20"/>
    </row>
    <row r="747" spans="15:21" x14ac:dyDescent="0.35">
      <c r="O747" s="18">
        <v>5</v>
      </c>
      <c r="P747" s="18">
        <f t="shared" si="66"/>
        <v>3725</v>
      </c>
      <c r="Q747" s="3">
        <f t="shared" si="69"/>
        <v>1.3288116299967748E-5</v>
      </c>
      <c r="R747" s="3">
        <f t="shared" si="65"/>
        <v>6.644058149983874E-5</v>
      </c>
      <c r="S747" s="3">
        <f t="shared" si="67"/>
        <v>0.21481153522373941</v>
      </c>
      <c r="T747" s="20">
        <f t="shared" si="68"/>
        <v>0.26576232599935495</v>
      </c>
      <c r="U747" s="20"/>
    </row>
    <row r="748" spans="15:21" x14ac:dyDescent="0.35">
      <c r="O748" s="18">
        <v>5</v>
      </c>
      <c r="P748" s="18">
        <f t="shared" si="66"/>
        <v>3730</v>
      </c>
      <c r="Q748" s="3">
        <f t="shared" si="69"/>
        <v>1.3259699711910137E-5</v>
      </c>
      <c r="R748" s="3">
        <f t="shared" si="65"/>
        <v>6.629849855955068E-5</v>
      </c>
      <c r="S748" s="3">
        <f t="shared" si="67"/>
        <v>0.21487797580523926</v>
      </c>
      <c r="T748" s="20">
        <f t="shared" si="68"/>
        <v>0.26519399423820272</v>
      </c>
      <c r="U748" s="20"/>
    </row>
    <row r="749" spans="15:21" x14ac:dyDescent="0.35">
      <c r="O749" s="18">
        <v>5</v>
      </c>
      <c r="P749" s="18">
        <f t="shared" si="66"/>
        <v>3735</v>
      </c>
      <c r="Q749" s="3">
        <f t="shared" si="69"/>
        <v>1.323135809910142E-5</v>
      </c>
      <c r="R749" s="3">
        <f t="shared" si="65"/>
        <v>6.6156790495507101E-5</v>
      </c>
      <c r="S749" s="3">
        <f t="shared" si="67"/>
        <v>0.21494427430379881</v>
      </c>
      <c r="T749" s="20">
        <f t="shared" si="68"/>
        <v>0.2646271619820284</v>
      </c>
      <c r="U749" s="20"/>
    </row>
    <row r="750" spans="15:21" x14ac:dyDescent="0.35">
      <c r="O750" s="18">
        <v>5</v>
      </c>
      <c r="P750" s="18">
        <f t="shared" si="66"/>
        <v>3740</v>
      </c>
      <c r="Q750" s="3">
        <f t="shared" si="69"/>
        <v>1.3203091199552024E-5</v>
      </c>
      <c r="R750" s="3">
        <f t="shared" si="65"/>
        <v>6.6015455997760124E-5</v>
      </c>
      <c r="S750" s="3">
        <f t="shared" si="67"/>
        <v>0.21501043109429432</v>
      </c>
      <c r="T750" s="20">
        <f t="shared" si="68"/>
        <v>0.2640618239910405</v>
      </c>
      <c r="U750" s="20"/>
    </row>
    <row r="751" spans="15:21" x14ac:dyDescent="0.35">
      <c r="O751" s="18">
        <v>5</v>
      </c>
      <c r="P751" s="18">
        <f t="shared" si="66"/>
        <v>3745</v>
      </c>
      <c r="Q751" s="3">
        <f t="shared" si="69"/>
        <v>1.3174898752493255E-5</v>
      </c>
      <c r="R751" s="3">
        <f t="shared" si="65"/>
        <v>6.5874493762466271E-5</v>
      </c>
      <c r="S751" s="3">
        <f t="shared" si="67"/>
        <v>0.21507644655029209</v>
      </c>
      <c r="T751" s="20">
        <f t="shared" si="68"/>
        <v>0.26349797504986511</v>
      </c>
      <c r="U751" s="20"/>
    </row>
    <row r="752" spans="15:21" x14ac:dyDescent="0.35">
      <c r="O752" s="18">
        <v>5</v>
      </c>
      <c r="P752" s="18">
        <f t="shared" si="66"/>
        <v>3750</v>
      </c>
      <c r="Q752" s="3">
        <f t="shared" si="69"/>
        <v>1.3146780498370027E-5</v>
      </c>
      <c r="R752" s="3">
        <f t="shared" si="65"/>
        <v>6.5733902491850135E-5</v>
      </c>
      <c r="S752" s="3">
        <f t="shared" si="67"/>
        <v>0.21514232104405456</v>
      </c>
      <c r="T752" s="20">
        <f t="shared" si="68"/>
        <v>0.26293560996740056</v>
      </c>
      <c r="U752" s="20"/>
    </row>
    <row r="753" spans="15:21" x14ac:dyDescent="0.35">
      <c r="O753" s="18">
        <v>5</v>
      </c>
      <c r="P753" s="18">
        <f t="shared" si="66"/>
        <v>3755</v>
      </c>
      <c r="Q753" s="3">
        <f t="shared" si="69"/>
        <v>1.3118736178833633E-5</v>
      </c>
      <c r="R753" s="3">
        <f t="shared" si="65"/>
        <v>6.5593680894168163E-5</v>
      </c>
      <c r="S753" s="3">
        <f t="shared" si="67"/>
        <v>0.21520805494654641</v>
      </c>
      <c r="T753" s="20">
        <f t="shared" si="68"/>
        <v>0.26237472357667269</v>
      </c>
      <c r="U753" s="20"/>
    </row>
    <row r="754" spans="15:21" x14ac:dyDescent="0.35">
      <c r="O754" s="18">
        <v>5</v>
      </c>
      <c r="P754" s="18">
        <f t="shared" si="66"/>
        <v>3760</v>
      </c>
      <c r="Q754" s="3">
        <f t="shared" si="69"/>
        <v>1.3090765536734588E-5</v>
      </c>
      <c r="R754" s="3">
        <f t="shared" si="65"/>
        <v>6.545382768367294E-5</v>
      </c>
      <c r="S754" s="3">
        <f t="shared" si="67"/>
        <v>0.21527364862744058</v>
      </c>
      <c r="T754" s="20">
        <f t="shared" si="68"/>
        <v>0.26181531073469178</v>
      </c>
      <c r="U754" s="20"/>
    </row>
    <row r="755" spans="15:21" x14ac:dyDescent="0.35">
      <c r="O755" s="18">
        <v>5</v>
      </c>
      <c r="P755" s="18">
        <f t="shared" si="66"/>
        <v>3765</v>
      </c>
      <c r="Q755" s="3">
        <f t="shared" si="69"/>
        <v>1.3062868316115521E-5</v>
      </c>
      <c r="R755" s="3">
        <f t="shared" si="65"/>
        <v>6.5314341580577603E-5</v>
      </c>
      <c r="S755" s="3">
        <f t="shared" si="67"/>
        <v>0.21533910245512425</v>
      </c>
      <c r="T755" s="20">
        <f t="shared" si="68"/>
        <v>0.26125736632231039</v>
      </c>
      <c r="U755" s="20"/>
    </row>
    <row r="756" spans="15:21" x14ac:dyDescent="0.35">
      <c r="O756" s="18">
        <v>5</v>
      </c>
      <c r="P756" s="18">
        <f t="shared" si="66"/>
        <v>3770</v>
      </c>
      <c r="Q756" s="3">
        <f t="shared" si="69"/>
        <v>1.3035044262204104E-5</v>
      </c>
      <c r="R756" s="3">
        <f t="shared" si="65"/>
        <v>6.517522131102052E-5</v>
      </c>
      <c r="S756" s="3">
        <f t="shared" si="67"/>
        <v>0.21540441679670483</v>
      </c>
      <c r="T756" s="20">
        <f t="shared" si="68"/>
        <v>0.26070088524408208</v>
      </c>
      <c r="U756" s="20"/>
    </row>
    <row r="757" spans="15:21" x14ac:dyDescent="0.35">
      <c r="O757" s="18">
        <v>5</v>
      </c>
      <c r="P757" s="18">
        <f t="shared" si="66"/>
        <v>3775</v>
      </c>
      <c r="Q757" s="3">
        <f t="shared" si="69"/>
        <v>1.3007293121406065E-5</v>
      </c>
      <c r="R757" s="3">
        <f t="shared" si="65"/>
        <v>6.5036465607030326E-5</v>
      </c>
      <c r="S757" s="3">
        <f t="shared" si="67"/>
        <v>0.21546959201801585</v>
      </c>
      <c r="T757" s="20">
        <f t="shared" si="68"/>
        <v>0.26014586242812127</v>
      </c>
      <c r="U757" s="20"/>
    </row>
    <row r="758" spans="15:21" x14ac:dyDescent="0.35">
      <c r="O758" s="18">
        <v>5</v>
      </c>
      <c r="P758" s="18">
        <f t="shared" si="66"/>
        <v>3780</v>
      </c>
      <c r="Q758" s="3">
        <f t="shared" si="69"/>
        <v>1.2979614641298191E-5</v>
      </c>
      <c r="R758" s="3">
        <f t="shared" si="65"/>
        <v>6.4898073206490946E-5</v>
      </c>
      <c r="S758" s="3">
        <f t="shared" si="67"/>
        <v>0.2155346284836229</v>
      </c>
      <c r="T758" s="20">
        <f t="shared" si="68"/>
        <v>0.2595922928259638</v>
      </c>
      <c r="U758" s="20"/>
    </row>
    <row r="759" spans="15:21" x14ac:dyDescent="0.35">
      <c r="O759" s="18">
        <v>5</v>
      </c>
      <c r="P759" s="18">
        <f t="shared" si="66"/>
        <v>3785</v>
      </c>
      <c r="Q759" s="3">
        <f t="shared" si="69"/>
        <v>1.2952008570621464E-5</v>
      </c>
      <c r="R759" s="3">
        <f t="shared" si="65"/>
        <v>6.4760042853107317E-5</v>
      </c>
      <c r="S759" s="3">
        <f t="shared" si="67"/>
        <v>0.2155995265568294</v>
      </c>
      <c r="T759" s="20">
        <f t="shared" si="68"/>
        <v>0.2590401714124293</v>
      </c>
      <c r="U759" s="20"/>
    </row>
    <row r="760" spans="15:21" x14ac:dyDescent="0.35">
      <c r="O760" s="18">
        <v>5</v>
      </c>
      <c r="P760" s="18">
        <f t="shared" si="66"/>
        <v>3790</v>
      </c>
      <c r="Q760" s="3">
        <f t="shared" si="69"/>
        <v>1.2924474659274168E-5</v>
      </c>
      <c r="R760" s="3">
        <f t="shared" si="65"/>
        <v>6.4622373296370844E-5</v>
      </c>
      <c r="S760" s="3">
        <f t="shared" si="67"/>
        <v>0.21566428659968251</v>
      </c>
      <c r="T760" s="20">
        <f t="shared" si="68"/>
        <v>0.25848949318548337</v>
      </c>
      <c r="U760" s="20"/>
    </row>
    <row r="761" spans="15:21" x14ac:dyDescent="0.35">
      <c r="O761" s="18">
        <v>5</v>
      </c>
      <c r="P761" s="18">
        <f t="shared" si="66"/>
        <v>3795</v>
      </c>
      <c r="Q761" s="3">
        <f t="shared" si="69"/>
        <v>1.2897012658305082E-5</v>
      </c>
      <c r="R761" s="3">
        <f t="shared" si="65"/>
        <v>6.4485063291525412E-5</v>
      </c>
      <c r="S761" s="3">
        <f t="shared" si="67"/>
        <v>0.21572890897297889</v>
      </c>
      <c r="T761" s="20">
        <f t="shared" si="68"/>
        <v>0.25794025316610164</v>
      </c>
      <c r="U761" s="20"/>
    </row>
    <row r="762" spans="15:21" x14ac:dyDescent="0.35">
      <c r="O762" s="18">
        <v>5</v>
      </c>
      <c r="P762" s="18">
        <f t="shared" si="66"/>
        <v>3800</v>
      </c>
      <c r="Q762" s="3">
        <f t="shared" si="69"/>
        <v>1.2869622319906754E-5</v>
      </c>
      <c r="R762" s="3">
        <f t="shared" si="65"/>
        <v>6.4348111599533774E-5</v>
      </c>
      <c r="S762" s="3">
        <f t="shared" si="67"/>
        <v>0.2157933940362704</v>
      </c>
      <c r="T762" s="20">
        <f t="shared" si="68"/>
        <v>0.25739244639813513</v>
      </c>
      <c r="U762" s="20"/>
    </row>
    <row r="763" spans="15:21" x14ac:dyDescent="0.35">
      <c r="O763" s="18">
        <v>5</v>
      </c>
      <c r="P763" s="18">
        <f t="shared" si="66"/>
        <v>3805</v>
      </c>
      <c r="Q763" s="3">
        <f t="shared" si="69"/>
        <v>1.2842303397408733E-5</v>
      </c>
      <c r="R763" s="3">
        <f t="shared" si="65"/>
        <v>6.4211516987043669E-5</v>
      </c>
      <c r="S763" s="3">
        <f t="shared" si="67"/>
        <v>0.21585774214786993</v>
      </c>
      <c r="T763" s="20">
        <f t="shared" si="68"/>
        <v>0.25684606794817472</v>
      </c>
      <c r="U763" s="20"/>
    </row>
    <row r="764" spans="15:21" x14ac:dyDescent="0.35">
      <c r="O764" s="18">
        <v>5</v>
      </c>
      <c r="P764" s="18">
        <f t="shared" si="66"/>
        <v>3810</v>
      </c>
      <c r="Q764" s="3">
        <f t="shared" si="69"/>
        <v>1.281505564527093E-5</v>
      </c>
      <c r="R764" s="3">
        <f t="shared" si="65"/>
        <v>6.4075278226354647E-5</v>
      </c>
      <c r="S764" s="3">
        <f t="shared" si="67"/>
        <v>0.21592195366485697</v>
      </c>
      <c r="T764" s="20">
        <f t="shared" si="68"/>
        <v>0.25630111290541863</v>
      </c>
      <c r="U764" s="20"/>
    </row>
    <row r="765" spans="15:21" x14ac:dyDescent="0.35">
      <c r="O765" s="18">
        <v>5</v>
      </c>
      <c r="P765" s="18">
        <f t="shared" si="66"/>
        <v>3815</v>
      </c>
      <c r="Q765" s="3">
        <f t="shared" si="69"/>
        <v>1.2787878819077026E-5</v>
      </c>
      <c r="R765" s="3">
        <f t="shared" si="65"/>
        <v>6.3939394095385136E-5</v>
      </c>
      <c r="S765" s="3">
        <f t="shared" si="67"/>
        <v>0.21598602894308333</v>
      </c>
      <c r="T765" s="20">
        <f t="shared" si="68"/>
        <v>0.25575757638154051</v>
      </c>
      <c r="U765" s="20"/>
    </row>
    <row r="766" spans="15:21" x14ac:dyDescent="0.35">
      <c r="O766" s="18">
        <v>5</v>
      </c>
      <c r="P766" s="18">
        <f t="shared" si="66"/>
        <v>3820</v>
      </c>
      <c r="Q766" s="3">
        <f t="shared" si="69"/>
        <v>1.2760772675527876E-5</v>
      </c>
      <c r="R766" s="3">
        <f t="shared" si="65"/>
        <v>6.3803863377639373E-5</v>
      </c>
      <c r="S766" s="3">
        <f t="shared" si="67"/>
        <v>0.21604996833717871</v>
      </c>
      <c r="T766" s="20">
        <f t="shared" si="68"/>
        <v>0.25521545351055752</v>
      </c>
      <c r="U766" s="20"/>
    </row>
    <row r="767" spans="15:21" x14ac:dyDescent="0.35">
      <c r="O767" s="18">
        <v>5</v>
      </c>
      <c r="P767" s="18">
        <f t="shared" si="66"/>
        <v>3825</v>
      </c>
      <c r="Q767" s="3">
        <f t="shared" si="69"/>
        <v>1.2733736972434969E-5</v>
      </c>
      <c r="R767" s="3">
        <f t="shared" si="65"/>
        <v>6.3668684862174839E-5</v>
      </c>
      <c r="S767" s="3">
        <f t="shared" si="67"/>
        <v>0.21611377220055636</v>
      </c>
      <c r="T767" s="20">
        <f t="shared" si="68"/>
        <v>0.25467473944869934</v>
      </c>
      <c r="U767" s="20"/>
    </row>
    <row r="768" spans="15:21" x14ac:dyDescent="0.35">
      <c r="O768" s="18">
        <v>5</v>
      </c>
      <c r="P768" s="18">
        <f t="shared" si="66"/>
        <v>3830</v>
      </c>
      <c r="Q768" s="3">
        <f t="shared" si="69"/>
        <v>1.2706771468713998E-5</v>
      </c>
      <c r="R768" s="3">
        <f t="shared" si="65"/>
        <v>6.3533857343569988E-5</v>
      </c>
      <c r="S768" s="3">
        <f t="shared" si="67"/>
        <v>0.21617744088541854</v>
      </c>
      <c r="T768" s="20">
        <f t="shared" si="68"/>
        <v>0.25413542937427996</v>
      </c>
      <c r="U768" s="20"/>
    </row>
    <row r="769" spans="15:21" x14ac:dyDescent="0.35">
      <c r="O769" s="18">
        <v>5</v>
      </c>
      <c r="P769" s="18">
        <f t="shared" si="66"/>
        <v>3835</v>
      </c>
      <c r="Q769" s="3">
        <f t="shared" si="69"/>
        <v>1.2679875924378401E-5</v>
      </c>
      <c r="R769" s="3">
        <f t="shared" si="65"/>
        <v>6.3399379621892007E-5</v>
      </c>
      <c r="S769" s="3">
        <f t="shared" si="67"/>
        <v>0.2162409747427621</v>
      </c>
      <c r="T769" s="20">
        <f t="shared" si="68"/>
        <v>0.25359751848756801</v>
      </c>
      <c r="U769" s="20"/>
    </row>
    <row r="770" spans="15:21" x14ac:dyDescent="0.35">
      <c r="O770" s="18">
        <v>5</v>
      </c>
      <c r="P770" s="18">
        <f t="shared" si="66"/>
        <v>3840</v>
      </c>
      <c r="Q770" s="3">
        <f t="shared" si="69"/>
        <v>1.2653050100532964E-5</v>
      </c>
      <c r="R770" s="3">
        <f t="shared" ref="R770:R833" si="70">Q770*O770</f>
        <v>6.326525050266482E-5</v>
      </c>
      <c r="S770" s="3">
        <f t="shared" si="67"/>
        <v>0.21630437412238399</v>
      </c>
      <c r="T770" s="20">
        <f t="shared" si="68"/>
        <v>0.25306100201065929</v>
      </c>
      <c r="U770" s="20"/>
    </row>
    <row r="771" spans="15:21" x14ac:dyDescent="0.35">
      <c r="O771" s="18">
        <v>5</v>
      </c>
      <c r="P771" s="18">
        <f t="shared" ref="P771:P834" si="71">O771+P770</f>
        <v>3845</v>
      </c>
      <c r="Q771" s="3">
        <f t="shared" si="69"/>
        <v>1.2626293759367511E-5</v>
      </c>
      <c r="R771" s="3">
        <f t="shared" si="70"/>
        <v>6.3131468796837561E-5</v>
      </c>
      <c r="S771" s="3">
        <f t="shared" ref="S771:S834" si="72">S770+R770</f>
        <v>0.21636763937288664</v>
      </c>
      <c r="T771" s="20">
        <f t="shared" ref="T771:T834" si="73">Q771*$B$9*$B$2*0.5/$B$11</f>
        <v>0.25252587518735026</v>
      </c>
      <c r="U771" s="20"/>
    </row>
    <row r="772" spans="15:21" x14ac:dyDescent="0.35">
      <c r="O772" s="18">
        <v>5</v>
      </c>
      <c r="P772" s="18">
        <f t="shared" si="71"/>
        <v>3850</v>
      </c>
      <c r="Q772" s="3">
        <f t="shared" ref="Q772:Q835" si="74">$T$2*(1-(S772/$B$12))/($B$9*((0.5*$B$2/$B$11)+(S772/$B$10)))</f>
        <v>1.2599606664150577E-5</v>
      </c>
      <c r="R772" s="3">
        <f t="shared" si="70"/>
        <v>6.2998033320752891E-5</v>
      </c>
      <c r="S772" s="3">
        <f t="shared" si="72"/>
        <v>0.21643077084168347</v>
      </c>
      <c r="T772" s="20">
        <f t="shared" si="73"/>
        <v>0.25199213328301157</v>
      </c>
      <c r="U772" s="20"/>
    </row>
    <row r="773" spans="15:21" x14ac:dyDescent="0.35">
      <c r="O773" s="18">
        <v>5</v>
      </c>
      <c r="P773" s="18">
        <f t="shared" si="71"/>
        <v>3855</v>
      </c>
      <c r="Q773" s="3">
        <f t="shared" si="74"/>
        <v>1.2572988579223203E-5</v>
      </c>
      <c r="R773" s="3">
        <f t="shared" si="70"/>
        <v>6.2864942896116016E-5</v>
      </c>
      <c r="S773" s="3">
        <f t="shared" si="72"/>
        <v>0.21649376887500421</v>
      </c>
      <c r="T773" s="20">
        <f t="shared" si="73"/>
        <v>0.25145977158446403</v>
      </c>
      <c r="U773" s="20"/>
    </row>
    <row r="774" spans="15:21" x14ac:dyDescent="0.35">
      <c r="O774" s="18">
        <v>5</v>
      </c>
      <c r="P774" s="18">
        <f t="shared" si="71"/>
        <v>3860</v>
      </c>
      <c r="Q774" s="3">
        <f t="shared" si="74"/>
        <v>1.2546439269992684E-5</v>
      </c>
      <c r="R774" s="3">
        <f t="shared" si="70"/>
        <v>6.2732196349963424E-5</v>
      </c>
      <c r="S774" s="3">
        <f t="shared" si="72"/>
        <v>0.21655663381790033</v>
      </c>
      <c r="T774" s="20">
        <f t="shared" si="73"/>
        <v>0.25092878539985369</v>
      </c>
      <c r="U774" s="20"/>
    </row>
    <row r="775" spans="15:21" x14ac:dyDescent="0.35">
      <c r="O775" s="18">
        <v>5</v>
      </c>
      <c r="P775" s="18">
        <f t="shared" si="71"/>
        <v>3865</v>
      </c>
      <c r="Q775" s="3">
        <f t="shared" si="74"/>
        <v>1.251995850292643E-5</v>
      </c>
      <c r="R775" s="3">
        <f t="shared" si="70"/>
        <v>6.2599792514632141E-5</v>
      </c>
      <c r="S775" s="3">
        <f t="shared" si="72"/>
        <v>0.2166193660142503</v>
      </c>
      <c r="T775" s="20">
        <f t="shared" si="73"/>
        <v>0.25039917005852863</v>
      </c>
      <c r="U775" s="20"/>
    </row>
    <row r="776" spans="15:21" x14ac:dyDescent="0.35">
      <c r="O776" s="18">
        <v>5</v>
      </c>
      <c r="P776" s="18">
        <f t="shared" si="71"/>
        <v>3870</v>
      </c>
      <c r="Q776" s="3">
        <f t="shared" si="74"/>
        <v>1.2493546045545858E-5</v>
      </c>
      <c r="R776" s="3">
        <f t="shared" si="70"/>
        <v>6.2467730227729287E-5</v>
      </c>
      <c r="S776" s="3">
        <f t="shared" si="72"/>
        <v>0.21668196580676494</v>
      </c>
      <c r="T776" s="20">
        <f t="shared" si="73"/>
        <v>0.24987092091091717</v>
      </c>
      <c r="U776" s="20"/>
    </row>
    <row r="777" spans="15:21" x14ac:dyDescent="0.35">
      <c r="O777" s="18">
        <v>5</v>
      </c>
      <c r="P777" s="18">
        <f t="shared" si="71"/>
        <v>3875</v>
      </c>
      <c r="Q777" s="3">
        <f t="shared" si="74"/>
        <v>1.2467201666420292E-5</v>
      </c>
      <c r="R777" s="3">
        <f t="shared" si="70"/>
        <v>6.2336008332101469E-5</v>
      </c>
      <c r="S777" s="3">
        <f t="shared" si="72"/>
        <v>0.21674443353699266</v>
      </c>
      <c r="T777" s="20">
        <f t="shared" si="73"/>
        <v>0.24934403332840582</v>
      </c>
      <c r="U777" s="20"/>
    </row>
    <row r="778" spans="15:21" x14ac:dyDescent="0.35">
      <c r="O778" s="18">
        <v>5</v>
      </c>
      <c r="P778" s="18">
        <f t="shared" si="71"/>
        <v>3880</v>
      </c>
      <c r="Q778" s="3">
        <f t="shared" si="74"/>
        <v>1.244092513516093E-5</v>
      </c>
      <c r="R778" s="3">
        <f t="shared" si="70"/>
        <v>6.2204625675804653E-5</v>
      </c>
      <c r="S778" s="3">
        <f t="shared" si="72"/>
        <v>0.21680676954532477</v>
      </c>
      <c r="T778" s="20">
        <f t="shared" si="73"/>
        <v>0.24881850270321859</v>
      </c>
      <c r="U778" s="20"/>
    </row>
    <row r="779" spans="15:21" x14ac:dyDescent="0.35">
      <c r="O779" s="18">
        <v>5</v>
      </c>
      <c r="P779" s="18">
        <f t="shared" si="71"/>
        <v>3885</v>
      </c>
      <c r="Q779" s="3">
        <f t="shared" si="74"/>
        <v>1.2414716222414889E-5</v>
      </c>
      <c r="R779" s="3">
        <f t="shared" si="70"/>
        <v>6.2073581112074449E-5</v>
      </c>
      <c r="S779" s="3">
        <f t="shared" si="72"/>
        <v>0.21686897417100057</v>
      </c>
      <c r="T779" s="20">
        <f t="shared" si="73"/>
        <v>0.24829432444829777</v>
      </c>
      <c r="U779" s="20"/>
    </row>
    <row r="780" spans="15:21" x14ac:dyDescent="0.35">
      <c r="O780" s="18">
        <v>5</v>
      </c>
      <c r="P780" s="18">
        <f t="shared" si="71"/>
        <v>3890</v>
      </c>
      <c r="Q780" s="3">
        <f t="shared" si="74"/>
        <v>1.2388574699859212E-5</v>
      </c>
      <c r="R780" s="3">
        <f t="shared" si="70"/>
        <v>6.1942873499296058E-5</v>
      </c>
      <c r="S780" s="3">
        <f t="shared" si="72"/>
        <v>0.21693104775211264</v>
      </c>
      <c r="T780" s="20">
        <f t="shared" si="73"/>
        <v>0.24777149399718423</v>
      </c>
      <c r="U780" s="20"/>
    </row>
    <row r="781" spans="15:21" x14ac:dyDescent="0.35">
      <c r="O781" s="18">
        <v>5</v>
      </c>
      <c r="P781" s="18">
        <f t="shared" si="71"/>
        <v>3895</v>
      </c>
      <c r="Q781" s="3">
        <f t="shared" si="74"/>
        <v>1.2362500340194978E-5</v>
      </c>
      <c r="R781" s="3">
        <f t="shared" si="70"/>
        <v>6.1812501700974896E-5</v>
      </c>
      <c r="S781" s="3">
        <f t="shared" si="72"/>
        <v>0.21699299062561195</v>
      </c>
      <c r="T781" s="20">
        <f t="shared" si="73"/>
        <v>0.24725000680389958</v>
      </c>
      <c r="U781" s="20"/>
    </row>
    <row r="782" spans="15:21" x14ac:dyDescent="0.35">
      <c r="O782" s="18">
        <v>5</v>
      </c>
      <c r="P782" s="18">
        <f t="shared" si="71"/>
        <v>3900</v>
      </c>
      <c r="Q782" s="3">
        <f t="shared" si="74"/>
        <v>1.2336492917141467E-5</v>
      </c>
      <c r="R782" s="3">
        <f t="shared" si="70"/>
        <v>6.1682464585707331E-5</v>
      </c>
      <c r="S782" s="3">
        <f t="shared" si="72"/>
        <v>0.21705480312731293</v>
      </c>
      <c r="T782" s="20">
        <f t="shared" si="73"/>
        <v>0.24672985834282934</v>
      </c>
      <c r="U782" s="20"/>
    </row>
    <row r="783" spans="15:21" x14ac:dyDescent="0.35">
      <c r="O783" s="18">
        <v>5</v>
      </c>
      <c r="P783" s="18">
        <f t="shared" si="71"/>
        <v>3905</v>
      </c>
      <c r="Q783" s="3">
        <f t="shared" si="74"/>
        <v>1.231055220543028E-5</v>
      </c>
      <c r="R783" s="3">
        <f t="shared" si="70"/>
        <v>6.1552761027151395E-5</v>
      </c>
      <c r="S783" s="3">
        <f t="shared" si="72"/>
        <v>0.21711648559189864</v>
      </c>
      <c r="T783" s="20">
        <f t="shared" si="73"/>
        <v>0.24621104410860561</v>
      </c>
      <c r="U783" s="20"/>
    </row>
    <row r="784" spans="15:21" x14ac:dyDescent="0.35">
      <c r="O784" s="18">
        <v>5</v>
      </c>
      <c r="P784" s="18">
        <f t="shared" si="71"/>
        <v>3910</v>
      </c>
      <c r="Q784" s="3">
        <f t="shared" si="74"/>
        <v>1.22846779807996E-5</v>
      </c>
      <c r="R784" s="3">
        <f t="shared" si="70"/>
        <v>6.1423389903998002E-5</v>
      </c>
      <c r="S784" s="3">
        <f t="shared" si="72"/>
        <v>0.21717803835292579</v>
      </c>
      <c r="T784" s="20">
        <f t="shared" si="73"/>
        <v>0.24569355961599204</v>
      </c>
      <c r="U784" s="20"/>
    </row>
    <row r="785" spans="15:21" x14ac:dyDescent="0.35">
      <c r="O785" s="18">
        <v>5</v>
      </c>
      <c r="P785" s="18">
        <f t="shared" si="71"/>
        <v>3915</v>
      </c>
      <c r="Q785" s="3">
        <f t="shared" si="74"/>
        <v>1.2258870019988421E-5</v>
      </c>
      <c r="R785" s="3">
        <f t="shared" si="70"/>
        <v>6.1294350099942106E-5</v>
      </c>
      <c r="S785" s="3">
        <f t="shared" si="72"/>
        <v>0.21723946174282979</v>
      </c>
      <c r="T785" s="20">
        <f t="shared" si="73"/>
        <v>0.24517740039976843</v>
      </c>
      <c r="U785" s="20"/>
    </row>
    <row r="786" spans="15:21" x14ac:dyDescent="0.35">
      <c r="O786" s="18">
        <v>5</v>
      </c>
      <c r="P786" s="18">
        <f t="shared" si="71"/>
        <v>3920</v>
      </c>
      <c r="Q786" s="3">
        <f t="shared" si="74"/>
        <v>1.223312810073086E-5</v>
      </c>
      <c r="R786" s="3">
        <f t="shared" si="70"/>
        <v>6.1165640503654307E-5</v>
      </c>
      <c r="S786" s="3">
        <f t="shared" si="72"/>
        <v>0.21730075609292973</v>
      </c>
      <c r="T786" s="20">
        <f t="shared" si="73"/>
        <v>0.24466256201461722</v>
      </c>
      <c r="U786" s="20"/>
    </row>
    <row r="787" spans="15:21" x14ac:dyDescent="0.35">
      <c r="O787" s="18">
        <v>5</v>
      </c>
      <c r="P787" s="18">
        <f t="shared" si="71"/>
        <v>3925</v>
      </c>
      <c r="Q787" s="3">
        <f t="shared" si="74"/>
        <v>1.220745200175049E-5</v>
      </c>
      <c r="R787" s="3">
        <f t="shared" si="70"/>
        <v>6.1037260008752449E-5</v>
      </c>
      <c r="S787" s="3">
        <f t="shared" si="72"/>
        <v>0.21736192173343338</v>
      </c>
      <c r="T787" s="20">
        <f t="shared" si="73"/>
        <v>0.24414904003500981</v>
      </c>
      <c r="U787" s="20"/>
    </row>
    <row r="788" spans="15:21" x14ac:dyDescent="0.35">
      <c r="O788" s="18">
        <v>5</v>
      </c>
      <c r="P788" s="18">
        <f t="shared" si="71"/>
        <v>3930</v>
      </c>
      <c r="Q788" s="3">
        <f t="shared" si="74"/>
        <v>1.218184150275471E-5</v>
      </c>
      <c r="R788" s="3">
        <f t="shared" si="70"/>
        <v>6.0909207513773549E-5</v>
      </c>
      <c r="S788" s="3">
        <f t="shared" si="72"/>
        <v>0.21742295899344213</v>
      </c>
      <c r="T788" s="20">
        <f t="shared" si="73"/>
        <v>0.24363683005509421</v>
      </c>
      <c r="U788" s="20"/>
    </row>
    <row r="789" spans="15:21" x14ac:dyDescent="0.35">
      <c r="O789" s="18">
        <v>5</v>
      </c>
      <c r="P789" s="18">
        <f t="shared" si="71"/>
        <v>3935</v>
      </c>
      <c r="Q789" s="3">
        <f t="shared" si="74"/>
        <v>1.2156296384429159E-5</v>
      </c>
      <c r="R789" s="3">
        <f t="shared" si="70"/>
        <v>6.0781481922145798E-5</v>
      </c>
      <c r="S789" s="3">
        <f t="shared" si="72"/>
        <v>0.21748386820095592</v>
      </c>
      <c r="T789" s="20">
        <f t="shared" si="73"/>
        <v>0.24312592768858321</v>
      </c>
      <c r="U789" s="20"/>
    </row>
    <row r="790" spans="15:21" x14ac:dyDescent="0.35">
      <c r="O790" s="18">
        <v>5</v>
      </c>
      <c r="P790" s="18">
        <f t="shared" si="71"/>
        <v>3940</v>
      </c>
      <c r="Q790" s="3">
        <f t="shared" si="74"/>
        <v>1.2130816428432185E-5</v>
      </c>
      <c r="R790" s="3">
        <f t="shared" si="70"/>
        <v>6.0654082142160924E-5</v>
      </c>
      <c r="S790" s="3">
        <f t="shared" si="72"/>
        <v>0.21754464968287807</v>
      </c>
      <c r="T790" s="20">
        <f t="shared" si="73"/>
        <v>0.24261632856864368</v>
      </c>
      <c r="U790" s="20"/>
    </row>
    <row r="791" spans="15:21" x14ac:dyDescent="0.35">
      <c r="O791" s="18">
        <v>5</v>
      </c>
      <c r="P791" s="18">
        <f t="shared" si="71"/>
        <v>3945</v>
      </c>
      <c r="Q791" s="3">
        <f t="shared" si="74"/>
        <v>1.2105401417389324E-5</v>
      </c>
      <c r="R791" s="3">
        <f t="shared" si="70"/>
        <v>6.0527007086946622E-5</v>
      </c>
      <c r="S791" s="3">
        <f t="shared" si="72"/>
        <v>0.21760530376502021</v>
      </c>
      <c r="T791" s="20">
        <f t="shared" si="73"/>
        <v>0.24210802834778647</v>
      </c>
      <c r="U791" s="20"/>
    </row>
    <row r="792" spans="15:21" x14ac:dyDescent="0.35">
      <c r="O792" s="18">
        <v>5</v>
      </c>
      <c r="P792" s="18">
        <f t="shared" si="71"/>
        <v>3950</v>
      </c>
      <c r="Q792" s="3">
        <f t="shared" si="74"/>
        <v>1.2080051134887809E-5</v>
      </c>
      <c r="R792" s="3">
        <f t="shared" si="70"/>
        <v>6.0400255674439043E-5</v>
      </c>
      <c r="S792" s="3">
        <f t="shared" si="72"/>
        <v>0.21766583077210716</v>
      </c>
      <c r="T792" s="20">
        <f t="shared" si="73"/>
        <v>0.24160102269775616</v>
      </c>
      <c r="U792" s="20"/>
    </row>
    <row r="793" spans="15:21" x14ac:dyDescent="0.35">
      <c r="O793" s="18">
        <v>5</v>
      </c>
      <c r="P793" s="18">
        <f t="shared" si="71"/>
        <v>3955</v>
      </c>
      <c r="Q793" s="3">
        <f t="shared" si="74"/>
        <v>1.2054765365471181E-5</v>
      </c>
      <c r="R793" s="3">
        <f t="shared" si="70"/>
        <v>6.0273826827355901E-5</v>
      </c>
      <c r="S793" s="3">
        <f t="shared" si="72"/>
        <v>0.2177262310277816</v>
      </c>
      <c r="T793" s="20">
        <f t="shared" si="73"/>
        <v>0.24109530730942363</v>
      </c>
      <c r="U793" s="20"/>
    </row>
    <row r="794" spans="15:21" x14ac:dyDescent="0.35">
      <c r="O794" s="18">
        <v>5</v>
      </c>
      <c r="P794" s="18">
        <f t="shared" si="71"/>
        <v>3960</v>
      </c>
      <c r="Q794" s="3">
        <f t="shared" si="74"/>
        <v>1.2029543894633859E-5</v>
      </c>
      <c r="R794" s="3">
        <f t="shared" si="70"/>
        <v>6.0147719473169293E-5</v>
      </c>
      <c r="S794" s="3">
        <f t="shared" si="72"/>
        <v>0.21778650485460896</v>
      </c>
      <c r="T794" s="20">
        <f t="shared" si="73"/>
        <v>0.24059087789267722</v>
      </c>
      <c r="U794" s="20"/>
    </row>
    <row r="795" spans="15:21" x14ac:dyDescent="0.35">
      <c r="O795" s="18">
        <v>5</v>
      </c>
      <c r="P795" s="18">
        <f t="shared" si="71"/>
        <v>3965</v>
      </c>
      <c r="Q795" s="3">
        <f t="shared" si="74"/>
        <v>1.2004386508815807E-5</v>
      </c>
      <c r="R795" s="3">
        <f t="shared" si="70"/>
        <v>6.0021932544079033E-5</v>
      </c>
      <c r="S795" s="3">
        <f t="shared" si="72"/>
        <v>0.21784665257408212</v>
      </c>
      <c r="T795" s="20">
        <f t="shared" si="73"/>
        <v>0.24008773017631613</v>
      </c>
      <c r="U795" s="20"/>
    </row>
    <row r="796" spans="15:21" x14ac:dyDescent="0.35">
      <c r="O796" s="18">
        <v>5</v>
      </c>
      <c r="P796" s="18">
        <f t="shared" si="71"/>
        <v>3970</v>
      </c>
      <c r="Q796" s="3">
        <f t="shared" si="74"/>
        <v>1.197929299539717E-5</v>
      </c>
      <c r="R796" s="3">
        <f t="shared" si="70"/>
        <v>5.9896464976985853E-5</v>
      </c>
      <c r="S796" s="3">
        <f t="shared" si="72"/>
        <v>0.21790667450662621</v>
      </c>
      <c r="T796" s="20">
        <f t="shared" si="73"/>
        <v>0.23958585990794343</v>
      </c>
      <c r="U796" s="20"/>
    </row>
    <row r="797" spans="15:21" x14ac:dyDescent="0.35">
      <c r="O797" s="18">
        <v>5</v>
      </c>
      <c r="P797" s="18">
        <f t="shared" si="71"/>
        <v>3975</v>
      </c>
      <c r="Q797" s="3">
        <f t="shared" si="74"/>
        <v>1.1954263142693058E-5</v>
      </c>
      <c r="R797" s="3">
        <f t="shared" si="70"/>
        <v>5.9771315713465293E-5</v>
      </c>
      <c r="S797" s="3">
        <f t="shared" si="72"/>
        <v>0.21796657097160319</v>
      </c>
      <c r="T797" s="20">
        <f t="shared" si="73"/>
        <v>0.23908526285386114</v>
      </c>
      <c r="U797" s="20"/>
    </row>
    <row r="798" spans="15:21" x14ac:dyDescent="0.35">
      <c r="O798" s="18">
        <v>5</v>
      </c>
      <c r="P798" s="18">
        <f t="shared" si="71"/>
        <v>3980</v>
      </c>
      <c r="Q798" s="3">
        <f t="shared" si="74"/>
        <v>1.1929296739948218E-5</v>
      </c>
      <c r="R798" s="3">
        <f t="shared" si="70"/>
        <v>5.9646483699741093E-5</v>
      </c>
      <c r="S798" s="3">
        <f t="shared" si="72"/>
        <v>0.21802634228731665</v>
      </c>
      <c r="T798" s="20">
        <f t="shared" si="73"/>
        <v>0.23858593479896439</v>
      </c>
      <c r="U798" s="20"/>
    </row>
    <row r="799" spans="15:21" x14ac:dyDescent="0.35">
      <c r="O799" s="18">
        <v>5</v>
      </c>
      <c r="P799" s="18">
        <f t="shared" si="71"/>
        <v>3985</v>
      </c>
      <c r="Q799" s="3">
        <f t="shared" si="74"/>
        <v>1.1904393577331894E-5</v>
      </c>
      <c r="R799" s="3">
        <f t="shared" si="70"/>
        <v>5.9521967886659466E-5</v>
      </c>
      <c r="S799" s="3">
        <f t="shared" si="72"/>
        <v>0.2180859887710164</v>
      </c>
      <c r="T799" s="20">
        <f t="shared" si="73"/>
        <v>0.23808787154663785</v>
      </c>
      <c r="U799" s="20"/>
    </row>
    <row r="800" spans="15:21" x14ac:dyDescent="0.35">
      <c r="O800" s="18">
        <v>5</v>
      </c>
      <c r="P800" s="18">
        <f t="shared" si="71"/>
        <v>3990</v>
      </c>
      <c r="Q800" s="3">
        <f t="shared" si="74"/>
        <v>1.1879553445932593E-5</v>
      </c>
      <c r="R800" s="3">
        <f t="shared" si="70"/>
        <v>5.9397767229662967E-5</v>
      </c>
      <c r="S800" s="3">
        <f t="shared" si="72"/>
        <v>0.21814551073890306</v>
      </c>
      <c r="T800" s="20">
        <f t="shared" si="73"/>
        <v>0.23759106891865187</v>
      </c>
      <c r="U800" s="20"/>
    </row>
    <row r="801" spans="15:21" x14ac:dyDescent="0.35">
      <c r="O801" s="18">
        <v>5</v>
      </c>
      <c r="P801" s="18">
        <f t="shared" si="71"/>
        <v>3995</v>
      </c>
      <c r="Q801" s="3">
        <f t="shared" si="74"/>
        <v>1.1854776137752987E-5</v>
      </c>
      <c r="R801" s="3">
        <f t="shared" si="70"/>
        <v>5.927388068876493E-5</v>
      </c>
      <c r="S801" s="3">
        <f t="shared" si="72"/>
        <v>0.21820490850613272</v>
      </c>
      <c r="T801" s="20">
        <f t="shared" si="73"/>
        <v>0.23709552275505971</v>
      </c>
      <c r="U801" s="20"/>
    </row>
    <row r="802" spans="15:21" x14ac:dyDescent="0.35">
      <c r="O802" s="18">
        <v>5</v>
      </c>
      <c r="P802" s="18">
        <f t="shared" si="71"/>
        <v>4000</v>
      </c>
      <c r="Q802" s="3">
        <f t="shared" si="74"/>
        <v>1.1830061445704766E-5</v>
      </c>
      <c r="R802" s="3">
        <f t="shared" si="70"/>
        <v>5.9150307228523832E-5</v>
      </c>
      <c r="S802" s="3">
        <f t="shared" si="72"/>
        <v>0.21826418238682149</v>
      </c>
      <c r="T802" s="20">
        <f t="shared" si="73"/>
        <v>0.23660122891409532</v>
      </c>
      <c r="U802" s="20"/>
    </row>
    <row r="803" spans="15:21" x14ac:dyDescent="0.35">
      <c r="O803" s="18">
        <v>5</v>
      </c>
      <c r="P803" s="18">
        <f t="shared" si="71"/>
        <v>4005</v>
      </c>
      <c r="Q803" s="3">
        <f t="shared" si="74"/>
        <v>1.1805409163603599E-5</v>
      </c>
      <c r="R803" s="3">
        <f t="shared" si="70"/>
        <v>5.9027045818017995E-5</v>
      </c>
      <c r="S803" s="3">
        <f t="shared" si="72"/>
        <v>0.21832333269405002</v>
      </c>
      <c r="T803" s="20">
        <f t="shared" si="73"/>
        <v>0.23610818327207198</v>
      </c>
      <c r="U803" s="20"/>
    </row>
    <row r="804" spans="15:21" x14ac:dyDescent="0.35">
      <c r="O804" s="18">
        <v>5</v>
      </c>
      <c r="P804" s="18">
        <f t="shared" si="71"/>
        <v>4010</v>
      </c>
      <c r="Q804" s="3">
        <f t="shared" si="74"/>
        <v>1.1780819086164094E-5</v>
      </c>
      <c r="R804" s="3">
        <f t="shared" si="70"/>
        <v>5.890409543082047E-5</v>
      </c>
      <c r="S804" s="3">
        <f t="shared" si="72"/>
        <v>0.21838235973986803</v>
      </c>
      <c r="T804" s="20">
        <f t="shared" si="73"/>
        <v>0.23561638172328186</v>
      </c>
      <c r="U804" s="20"/>
    </row>
    <row r="805" spans="15:21" x14ac:dyDescent="0.35">
      <c r="O805" s="18">
        <v>5</v>
      </c>
      <c r="P805" s="18">
        <f t="shared" si="71"/>
        <v>4015</v>
      </c>
      <c r="Q805" s="3">
        <f t="shared" si="74"/>
        <v>1.1756291008994753E-5</v>
      </c>
      <c r="R805" s="3">
        <f t="shared" si="70"/>
        <v>5.8781455044973766E-5</v>
      </c>
      <c r="S805" s="3">
        <f t="shared" si="72"/>
        <v>0.21844126383529885</v>
      </c>
      <c r="T805" s="20">
        <f t="shared" si="73"/>
        <v>0.23512582017989508</v>
      </c>
      <c r="U805" s="20"/>
    </row>
    <row r="806" spans="15:21" x14ac:dyDescent="0.35">
      <c r="O806" s="18">
        <v>5</v>
      </c>
      <c r="P806" s="18">
        <f t="shared" si="71"/>
        <v>4020</v>
      </c>
      <c r="Q806" s="3">
        <f t="shared" si="74"/>
        <v>1.1731824728593066E-5</v>
      </c>
      <c r="R806" s="3">
        <f t="shared" si="70"/>
        <v>5.8659123642965328E-5</v>
      </c>
      <c r="S806" s="3">
        <f t="shared" si="72"/>
        <v>0.21850004529034384</v>
      </c>
      <c r="T806" s="20">
        <f t="shared" si="73"/>
        <v>0.23463649457186131</v>
      </c>
      <c r="U806" s="20"/>
    </row>
    <row r="807" spans="15:21" x14ac:dyDescent="0.35">
      <c r="O807" s="18">
        <v>5</v>
      </c>
      <c r="P807" s="18">
        <f t="shared" si="71"/>
        <v>4025</v>
      </c>
      <c r="Q807" s="3">
        <f t="shared" si="74"/>
        <v>1.1707420042340533E-5</v>
      </c>
      <c r="R807" s="3">
        <f t="shared" si="70"/>
        <v>5.8537100211702664E-5</v>
      </c>
      <c r="S807" s="3">
        <f t="shared" si="72"/>
        <v>0.21855870441398681</v>
      </c>
      <c r="T807" s="20">
        <f t="shared" si="73"/>
        <v>0.23414840084681068</v>
      </c>
      <c r="U807" s="20"/>
    </row>
    <row r="808" spans="15:21" x14ac:dyDescent="0.35">
      <c r="O808" s="18">
        <v>5</v>
      </c>
      <c r="P808" s="18">
        <f t="shared" si="71"/>
        <v>4030</v>
      </c>
      <c r="Q808" s="3">
        <f t="shared" si="74"/>
        <v>1.1683076748497787E-5</v>
      </c>
      <c r="R808" s="3">
        <f t="shared" si="70"/>
        <v>5.8415383742488932E-5</v>
      </c>
      <c r="S808" s="3">
        <f t="shared" si="72"/>
        <v>0.21861724151419851</v>
      </c>
      <c r="T808" s="20">
        <f t="shared" si="73"/>
        <v>0.23366153496995576</v>
      </c>
      <c r="U808" s="20"/>
    </row>
    <row r="809" spans="15:21" x14ac:dyDescent="0.35">
      <c r="O809" s="18">
        <v>5</v>
      </c>
      <c r="P809" s="18">
        <f t="shared" si="71"/>
        <v>4035</v>
      </c>
      <c r="Q809" s="3">
        <f t="shared" si="74"/>
        <v>1.1658794646199683E-5</v>
      </c>
      <c r="R809" s="3">
        <f t="shared" si="70"/>
        <v>5.8293973230998415E-5</v>
      </c>
      <c r="S809" s="3">
        <f t="shared" si="72"/>
        <v>0.218675656897941</v>
      </c>
      <c r="T809" s="20">
        <f t="shared" si="73"/>
        <v>0.23317589292399366</v>
      </c>
      <c r="U809" s="20"/>
    </row>
    <row r="810" spans="15:21" x14ac:dyDescent="0.35">
      <c r="O810" s="18">
        <v>5</v>
      </c>
      <c r="P810" s="18">
        <f t="shared" si="71"/>
        <v>4040</v>
      </c>
      <c r="Q810" s="3">
        <f t="shared" si="74"/>
        <v>1.1634573535450515E-5</v>
      </c>
      <c r="R810" s="3">
        <f t="shared" si="70"/>
        <v>5.8172867677252575E-5</v>
      </c>
      <c r="S810" s="3">
        <f t="shared" si="72"/>
        <v>0.21873395087117201</v>
      </c>
      <c r="T810" s="20">
        <f t="shared" si="73"/>
        <v>0.23269147070901033</v>
      </c>
      <c r="U810" s="20"/>
    </row>
    <row r="811" spans="15:21" x14ac:dyDescent="0.35">
      <c r="O811" s="18">
        <v>5</v>
      </c>
      <c r="P811" s="18">
        <f t="shared" si="71"/>
        <v>4045</v>
      </c>
      <c r="Q811" s="3">
        <f t="shared" si="74"/>
        <v>1.1610413217119183E-5</v>
      </c>
      <c r="R811" s="3">
        <f t="shared" si="70"/>
        <v>5.8052066085595918E-5</v>
      </c>
      <c r="S811" s="3">
        <f t="shared" si="72"/>
        <v>0.21879212373884926</v>
      </c>
      <c r="T811" s="20">
        <f t="shared" si="73"/>
        <v>0.23220826434238365</v>
      </c>
      <c r="U811" s="20"/>
    </row>
    <row r="812" spans="15:21" x14ac:dyDescent="0.35">
      <c r="O812" s="18">
        <v>5</v>
      </c>
      <c r="P812" s="18">
        <f t="shared" si="71"/>
        <v>4050</v>
      </c>
      <c r="Q812" s="3">
        <f t="shared" si="74"/>
        <v>1.1586313492934439E-5</v>
      </c>
      <c r="R812" s="3">
        <f t="shared" si="70"/>
        <v>5.7931567464672194E-5</v>
      </c>
      <c r="S812" s="3">
        <f t="shared" si="72"/>
        <v>0.21885017580493485</v>
      </c>
      <c r="T812" s="20">
        <f t="shared" si="73"/>
        <v>0.23172626985868877</v>
      </c>
      <c r="U812" s="20"/>
    </row>
    <row r="813" spans="15:21" x14ac:dyDescent="0.35">
      <c r="O813" s="18">
        <v>5</v>
      </c>
      <c r="P813" s="18">
        <f t="shared" si="71"/>
        <v>4055</v>
      </c>
      <c r="Q813" s="3">
        <f t="shared" si="74"/>
        <v>1.1562274165480107E-5</v>
      </c>
      <c r="R813" s="3">
        <f t="shared" si="70"/>
        <v>5.7811370827400538E-5</v>
      </c>
      <c r="S813" s="3">
        <f t="shared" si="72"/>
        <v>0.21890810737239952</v>
      </c>
      <c r="T813" s="20">
        <f t="shared" si="73"/>
        <v>0.23124548330960218</v>
      </c>
      <c r="U813" s="20"/>
    </row>
    <row r="814" spans="15:21" x14ac:dyDescent="0.35">
      <c r="O814" s="18">
        <v>5</v>
      </c>
      <c r="P814" s="18">
        <f t="shared" si="71"/>
        <v>4060</v>
      </c>
      <c r="Q814" s="3">
        <f t="shared" si="74"/>
        <v>1.1538295038190436E-5</v>
      </c>
      <c r="R814" s="3">
        <f t="shared" si="70"/>
        <v>5.769147519095218E-5</v>
      </c>
      <c r="S814" s="3">
        <f t="shared" si="72"/>
        <v>0.21896591874322691</v>
      </c>
      <c r="T814" s="20">
        <f t="shared" si="73"/>
        <v>0.23076590076380871</v>
      </c>
      <c r="U814" s="20"/>
    </row>
    <row r="815" spans="15:21" x14ac:dyDescent="0.35">
      <c r="O815" s="18">
        <v>5</v>
      </c>
      <c r="P815" s="18">
        <f t="shared" si="71"/>
        <v>4065</v>
      </c>
      <c r="Q815" s="3">
        <f t="shared" si="74"/>
        <v>1.1514375915345378E-5</v>
      </c>
      <c r="R815" s="3">
        <f t="shared" si="70"/>
        <v>5.7571879576726891E-5</v>
      </c>
      <c r="S815" s="3">
        <f t="shared" si="72"/>
        <v>0.21902361021841785</v>
      </c>
      <c r="T815" s="20">
        <f t="shared" si="73"/>
        <v>0.23028751830690758</v>
      </c>
      <c r="U815" s="20"/>
    </row>
    <row r="816" spans="15:21" x14ac:dyDescent="0.35">
      <c r="O816" s="18">
        <v>5</v>
      </c>
      <c r="P816" s="18">
        <f t="shared" si="71"/>
        <v>4070</v>
      </c>
      <c r="Q816" s="3">
        <f t="shared" si="74"/>
        <v>1.149051660206596E-5</v>
      </c>
      <c r="R816" s="3">
        <f t="shared" si="70"/>
        <v>5.7452583010329804E-5</v>
      </c>
      <c r="S816" s="3">
        <f t="shared" si="72"/>
        <v>0.21908118209799457</v>
      </c>
      <c r="T816" s="20">
        <f t="shared" si="73"/>
        <v>0.22981033204131923</v>
      </c>
      <c r="U816" s="20"/>
    </row>
    <row r="817" spans="15:21" x14ac:dyDescent="0.35">
      <c r="O817" s="18">
        <v>5</v>
      </c>
      <c r="P817" s="18">
        <f t="shared" si="71"/>
        <v>4075</v>
      </c>
      <c r="Q817" s="3">
        <f t="shared" si="74"/>
        <v>1.1466716904309688E-5</v>
      </c>
      <c r="R817" s="3">
        <f t="shared" si="70"/>
        <v>5.7333584521548441E-5</v>
      </c>
      <c r="S817" s="3">
        <f t="shared" si="72"/>
        <v>0.21913863468100489</v>
      </c>
      <c r="T817" s="20">
        <f t="shared" si="73"/>
        <v>0.22933433808619375</v>
      </c>
      <c r="U817" s="20"/>
    </row>
    <row r="818" spans="15:21" x14ac:dyDescent="0.35">
      <c r="O818" s="18">
        <v>5</v>
      </c>
      <c r="P818" s="18">
        <f t="shared" si="71"/>
        <v>4080</v>
      </c>
      <c r="Q818" s="3">
        <f t="shared" si="74"/>
        <v>1.1442976628865935E-5</v>
      </c>
      <c r="R818" s="3">
        <f t="shared" si="70"/>
        <v>5.7214883144329678E-5</v>
      </c>
      <c r="S818" s="3">
        <f t="shared" si="72"/>
        <v>0.21919596826552643</v>
      </c>
      <c r="T818" s="20">
        <f t="shared" si="73"/>
        <v>0.22885953257731873</v>
      </c>
      <c r="U818" s="20"/>
    </row>
    <row r="819" spans="15:21" x14ac:dyDescent="0.35">
      <c r="O819" s="18">
        <v>5</v>
      </c>
      <c r="P819" s="18">
        <f t="shared" si="71"/>
        <v>4085</v>
      </c>
      <c r="Q819" s="3">
        <f t="shared" si="74"/>
        <v>1.1419295583351398E-5</v>
      </c>
      <c r="R819" s="3">
        <f t="shared" si="70"/>
        <v>5.7096477916756988E-5</v>
      </c>
      <c r="S819" s="3">
        <f t="shared" si="72"/>
        <v>0.21925318314867076</v>
      </c>
      <c r="T819" s="20">
        <f t="shared" si="73"/>
        <v>0.22838591166702796</v>
      </c>
      <c r="U819" s="20"/>
    </row>
    <row r="820" spans="15:21" x14ac:dyDescent="0.35">
      <c r="O820" s="18">
        <v>5</v>
      </c>
      <c r="P820" s="18">
        <f t="shared" si="71"/>
        <v>4090</v>
      </c>
      <c r="Q820" s="3">
        <f t="shared" si="74"/>
        <v>1.13956735762056E-5</v>
      </c>
      <c r="R820" s="3">
        <f t="shared" si="70"/>
        <v>5.6978367881028004E-5</v>
      </c>
      <c r="S820" s="3">
        <f t="shared" si="72"/>
        <v>0.21931027962658753</v>
      </c>
      <c r="T820" s="20">
        <f t="shared" si="73"/>
        <v>0.22791347152411198</v>
      </c>
      <c r="U820" s="20"/>
    </row>
    <row r="821" spans="15:21" x14ac:dyDescent="0.35">
      <c r="O821" s="18">
        <v>5</v>
      </c>
      <c r="P821" s="18">
        <f t="shared" si="71"/>
        <v>4095</v>
      </c>
      <c r="Q821" s="3">
        <f t="shared" si="74"/>
        <v>1.1372110416686379E-5</v>
      </c>
      <c r="R821" s="3">
        <f t="shared" si="70"/>
        <v>5.6860552083431896E-5</v>
      </c>
      <c r="S821" s="3">
        <f t="shared" si="72"/>
        <v>0.21936725799446855</v>
      </c>
      <c r="T821" s="20">
        <f t="shared" si="73"/>
        <v>0.22744220833372758</v>
      </c>
      <c r="U821" s="20"/>
    </row>
    <row r="822" spans="15:21" x14ac:dyDescent="0.35">
      <c r="O822" s="18">
        <v>5</v>
      </c>
      <c r="P822" s="18">
        <f t="shared" si="71"/>
        <v>4100</v>
      </c>
      <c r="Q822" s="3">
        <f t="shared" si="74"/>
        <v>1.1348605914865413E-5</v>
      </c>
      <c r="R822" s="3">
        <f t="shared" si="70"/>
        <v>5.6743029574327066E-5</v>
      </c>
      <c r="S822" s="3">
        <f t="shared" si="72"/>
        <v>0.21942411854655197</v>
      </c>
      <c r="T822" s="20">
        <f t="shared" si="73"/>
        <v>0.22697211829730823</v>
      </c>
      <c r="U822" s="20"/>
    </row>
    <row r="823" spans="15:21" x14ac:dyDescent="0.35">
      <c r="O823" s="18">
        <v>5</v>
      </c>
      <c r="P823" s="18">
        <f t="shared" si="71"/>
        <v>4105</v>
      </c>
      <c r="Q823" s="3">
        <f t="shared" si="74"/>
        <v>1.1325159881623825E-5</v>
      </c>
      <c r="R823" s="3">
        <f t="shared" si="70"/>
        <v>5.6625799408119129E-5</v>
      </c>
      <c r="S823" s="3">
        <f t="shared" si="72"/>
        <v>0.21948086157612628</v>
      </c>
      <c r="T823" s="20">
        <f t="shared" si="73"/>
        <v>0.22650319763247651</v>
      </c>
      <c r="U823" s="20"/>
    </row>
    <row r="824" spans="15:21" x14ac:dyDescent="0.35">
      <c r="O824" s="18">
        <v>5</v>
      </c>
      <c r="P824" s="18">
        <f t="shared" si="71"/>
        <v>4110</v>
      </c>
      <c r="Q824" s="3">
        <f t="shared" si="74"/>
        <v>1.1301772128647738E-5</v>
      </c>
      <c r="R824" s="3">
        <f t="shared" si="70"/>
        <v>5.6508860643238691E-5</v>
      </c>
      <c r="S824" s="3">
        <f t="shared" si="72"/>
        <v>0.21953748737553441</v>
      </c>
      <c r="T824" s="20">
        <f t="shared" si="73"/>
        <v>0.22603544257295474</v>
      </c>
      <c r="U824" s="20"/>
    </row>
    <row r="825" spans="15:21" x14ac:dyDescent="0.35">
      <c r="O825" s="18">
        <v>5</v>
      </c>
      <c r="P825" s="18">
        <f t="shared" si="71"/>
        <v>4115</v>
      </c>
      <c r="Q825" s="3">
        <f t="shared" si="74"/>
        <v>1.1278442468423953E-5</v>
      </c>
      <c r="R825" s="3">
        <f t="shared" si="70"/>
        <v>5.639221234211977E-5</v>
      </c>
      <c r="S825" s="3">
        <f t="shared" si="72"/>
        <v>0.21959399623617765</v>
      </c>
      <c r="T825" s="20">
        <f t="shared" si="73"/>
        <v>0.2255688493684791</v>
      </c>
      <c r="U825" s="20"/>
    </row>
    <row r="826" spans="15:21" x14ac:dyDescent="0.35">
      <c r="O826" s="18">
        <v>5</v>
      </c>
      <c r="P826" s="18">
        <f t="shared" si="71"/>
        <v>4120</v>
      </c>
      <c r="Q826" s="3">
        <f t="shared" si="74"/>
        <v>1.125517071423555E-5</v>
      </c>
      <c r="R826" s="3">
        <f t="shared" si="70"/>
        <v>5.6275853571177755E-5</v>
      </c>
      <c r="S826" s="3">
        <f t="shared" si="72"/>
        <v>0.21965038844851978</v>
      </c>
      <c r="T826" s="20">
        <f t="shared" si="73"/>
        <v>0.22510341428471101</v>
      </c>
      <c r="U826" s="20"/>
    </row>
    <row r="827" spans="15:21" x14ac:dyDescent="0.35">
      <c r="O827" s="18">
        <v>5</v>
      </c>
      <c r="P827" s="18">
        <f t="shared" si="71"/>
        <v>4125</v>
      </c>
      <c r="Q827" s="3">
        <f t="shared" si="74"/>
        <v>1.1231956680157628E-5</v>
      </c>
      <c r="R827" s="3">
        <f t="shared" si="70"/>
        <v>5.6159783400788138E-5</v>
      </c>
      <c r="S827" s="3">
        <f t="shared" si="72"/>
        <v>0.21970666430209096</v>
      </c>
      <c r="T827" s="20">
        <f t="shared" si="73"/>
        <v>0.22463913360315255</v>
      </c>
      <c r="U827" s="20"/>
    </row>
    <row r="828" spans="15:21" x14ac:dyDescent="0.35">
      <c r="O828" s="18">
        <v>5</v>
      </c>
      <c r="P828" s="18">
        <f t="shared" si="71"/>
        <v>4130</v>
      </c>
      <c r="Q828" s="3">
        <f t="shared" si="74"/>
        <v>1.1208800181052979E-5</v>
      </c>
      <c r="R828" s="3">
        <f t="shared" si="70"/>
        <v>5.6044000905264898E-5</v>
      </c>
      <c r="S828" s="3">
        <f t="shared" si="72"/>
        <v>0.21976282408549175</v>
      </c>
      <c r="T828" s="20">
        <f t="shared" si="73"/>
        <v>0.22417600362105958</v>
      </c>
      <c r="U828" s="20"/>
    </row>
    <row r="829" spans="15:21" x14ac:dyDescent="0.35">
      <c r="O829" s="18">
        <v>5</v>
      </c>
      <c r="P829" s="18">
        <f t="shared" si="71"/>
        <v>4135</v>
      </c>
      <c r="Q829" s="3">
        <f t="shared" si="74"/>
        <v>1.1185701032567842E-5</v>
      </c>
      <c r="R829" s="3">
        <f t="shared" si="70"/>
        <v>5.592850516283921E-5</v>
      </c>
      <c r="S829" s="3">
        <f t="shared" si="72"/>
        <v>0.219818868086397</v>
      </c>
      <c r="T829" s="20">
        <f t="shared" si="73"/>
        <v>0.22371402065135684</v>
      </c>
      <c r="U829" s="20"/>
    </row>
    <row r="830" spans="15:21" x14ac:dyDescent="0.35">
      <c r="O830" s="18">
        <v>5</v>
      </c>
      <c r="P830" s="18">
        <f t="shared" si="71"/>
        <v>4140</v>
      </c>
      <c r="Q830" s="3">
        <f t="shared" si="74"/>
        <v>1.1162659051127666E-5</v>
      </c>
      <c r="R830" s="3">
        <f t="shared" si="70"/>
        <v>5.5813295255638327E-5</v>
      </c>
      <c r="S830" s="3">
        <f t="shared" si="72"/>
        <v>0.21987479659155984</v>
      </c>
      <c r="T830" s="20">
        <f t="shared" si="73"/>
        <v>0.22325318102255332</v>
      </c>
      <c r="U830" s="20"/>
    </row>
    <row r="831" spans="15:21" x14ac:dyDescent="0.35">
      <c r="O831" s="18">
        <v>5</v>
      </c>
      <c r="P831" s="18">
        <f t="shared" si="71"/>
        <v>4145</v>
      </c>
      <c r="Q831" s="3">
        <f t="shared" si="74"/>
        <v>1.1139674053932927E-5</v>
      </c>
      <c r="R831" s="3">
        <f t="shared" si="70"/>
        <v>5.5698370269664634E-5</v>
      </c>
      <c r="S831" s="3">
        <f t="shared" si="72"/>
        <v>0.21993060988681548</v>
      </c>
      <c r="T831" s="20">
        <f t="shared" si="73"/>
        <v>0.22279348107865854</v>
      </c>
      <c r="U831" s="20"/>
    </row>
    <row r="832" spans="15:21" x14ac:dyDescent="0.35">
      <c r="O832" s="18">
        <v>5</v>
      </c>
      <c r="P832" s="18">
        <f t="shared" si="71"/>
        <v>4150</v>
      </c>
      <c r="Q832" s="3">
        <f t="shared" si="74"/>
        <v>1.1116745858954937E-5</v>
      </c>
      <c r="R832" s="3">
        <f t="shared" si="70"/>
        <v>5.558372929477469E-5</v>
      </c>
      <c r="S832" s="3">
        <f t="shared" si="72"/>
        <v>0.21998630825708515</v>
      </c>
      <c r="T832" s="20">
        <f t="shared" si="73"/>
        <v>0.22233491717909873</v>
      </c>
      <c r="U832" s="20"/>
    </row>
    <row r="833" spans="15:21" x14ac:dyDescent="0.35">
      <c r="O833" s="18">
        <v>5</v>
      </c>
      <c r="P833" s="18">
        <f t="shared" si="71"/>
        <v>4155</v>
      </c>
      <c r="Q833" s="3">
        <f t="shared" si="74"/>
        <v>1.109387428493171E-5</v>
      </c>
      <c r="R833" s="3">
        <f t="shared" si="70"/>
        <v>5.5469371424658547E-5</v>
      </c>
      <c r="S833" s="3">
        <f t="shared" si="72"/>
        <v>0.22004189198637991</v>
      </c>
      <c r="T833" s="20">
        <f t="shared" si="73"/>
        <v>0.22187748569863419</v>
      </c>
      <c r="U833" s="20"/>
    </row>
    <row r="834" spans="15:21" x14ac:dyDescent="0.35">
      <c r="O834" s="18">
        <v>5</v>
      </c>
      <c r="P834" s="18">
        <f t="shared" si="71"/>
        <v>4160</v>
      </c>
      <c r="Q834" s="3">
        <f t="shared" si="74"/>
        <v>1.1071059151363806E-5</v>
      </c>
      <c r="R834" s="3">
        <f t="shared" ref="R834:R897" si="75">Q834*O834</f>
        <v>5.5355295756819034E-5</v>
      </c>
      <c r="S834" s="3">
        <f t="shared" si="72"/>
        <v>0.22009736135780458</v>
      </c>
      <c r="T834" s="20">
        <f t="shared" si="73"/>
        <v>0.22142118302727612</v>
      </c>
      <c r="U834" s="20"/>
    </row>
    <row r="835" spans="15:21" x14ac:dyDescent="0.35">
      <c r="O835" s="18">
        <v>5</v>
      </c>
      <c r="P835" s="18">
        <f t="shared" ref="P835:P898" si="76">O835+P834</f>
        <v>4165</v>
      </c>
      <c r="Q835" s="3">
        <f t="shared" si="74"/>
        <v>1.1048300278510305E-5</v>
      </c>
      <c r="R835" s="3">
        <f t="shared" si="75"/>
        <v>5.5241501392551523E-5</v>
      </c>
      <c r="S835" s="3">
        <f t="shared" ref="S835:S898" si="77">S834+R834</f>
        <v>0.2201527166535614</v>
      </c>
      <c r="T835" s="20">
        <f t="shared" ref="T835:T898" si="78">Q835*$B$9*$B$2*0.5/$B$11</f>
        <v>0.2209660055702061</v>
      </c>
      <c r="U835" s="20"/>
    </row>
    <row r="836" spans="15:21" x14ac:dyDescent="0.35">
      <c r="O836" s="18">
        <v>5</v>
      </c>
      <c r="P836" s="18">
        <f t="shared" si="76"/>
        <v>4170</v>
      </c>
      <c r="Q836" s="3">
        <f t="shared" ref="Q836:Q899" si="79">$T$2*(1-(S836/$B$12))/($B$9*((0.5*$B$2/$B$11)+(S836/$B$10)))</f>
        <v>1.1025597487384672E-5</v>
      </c>
      <c r="R836" s="3">
        <f t="shared" si="75"/>
        <v>5.5127987436923361E-5</v>
      </c>
      <c r="S836" s="3">
        <f t="shared" si="77"/>
        <v>0.22020795815495395</v>
      </c>
      <c r="T836" s="20">
        <f t="shared" si="78"/>
        <v>0.22051194974769345</v>
      </c>
      <c r="U836" s="20"/>
    </row>
    <row r="837" spans="15:21" x14ac:dyDescent="0.35">
      <c r="O837" s="18">
        <v>5</v>
      </c>
      <c r="P837" s="18">
        <f t="shared" si="76"/>
        <v>4175</v>
      </c>
      <c r="Q837" s="3">
        <f t="shared" si="79"/>
        <v>1.1002950599750758E-5</v>
      </c>
      <c r="R837" s="3">
        <f t="shared" si="75"/>
        <v>5.501475299875379E-5</v>
      </c>
      <c r="S837" s="3">
        <f t="shared" si="77"/>
        <v>0.22026308614239087</v>
      </c>
      <c r="T837" s="20">
        <f t="shared" si="78"/>
        <v>0.22005901199501515</v>
      </c>
      <c r="U837" s="20"/>
    </row>
    <row r="838" spans="15:21" x14ac:dyDescent="0.35">
      <c r="O838" s="18">
        <v>5</v>
      </c>
      <c r="P838" s="18">
        <f t="shared" si="76"/>
        <v>4180</v>
      </c>
      <c r="Q838" s="3">
        <f t="shared" si="79"/>
        <v>1.0980359438118768E-5</v>
      </c>
      <c r="R838" s="3">
        <f t="shared" si="75"/>
        <v>5.490179719059384E-5</v>
      </c>
      <c r="S838" s="3">
        <f t="shared" si="77"/>
        <v>0.22031810089538964</v>
      </c>
      <c r="T838" s="20">
        <f t="shared" si="78"/>
        <v>0.21960718876237534</v>
      </c>
      <c r="U838" s="20"/>
    </row>
    <row r="839" spans="15:21" x14ac:dyDescent="0.35">
      <c r="O839" s="18">
        <v>5</v>
      </c>
      <c r="P839" s="18">
        <f t="shared" si="76"/>
        <v>4185</v>
      </c>
      <c r="Q839" s="3">
        <f t="shared" si="79"/>
        <v>1.095782382574131E-5</v>
      </c>
      <c r="R839" s="3">
        <f t="shared" si="75"/>
        <v>5.4789119128706554E-5</v>
      </c>
      <c r="S839" s="3">
        <f t="shared" si="77"/>
        <v>0.22037300269258023</v>
      </c>
      <c r="T839" s="20">
        <f t="shared" si="78"/>
        <v>0.2191564765148262</v>
      </c>
      <c r="U839" s="20"/>
    </row>
    <row r="840" spans="15:21" x14ac:dyDescent="0.35">
      <c r="O840" s="18">
        <v>5</v>
      </c>
      <c r="P840" s="18">
        <f t="shared" si="76"/>
        <v>4190</v>
      </c>
      <c r="Q840" s="3">
        <f t="shared" si="79"/>
        <v>1.0935343586609365E-5</v>
      </c>
      <c r="R840" s="3">
        <f t="shared" si="75"/>
        <v>5.4676717933046823E-5</v>
      </c>
      <c r="S840" s="3">
        <f t="shared" si="77"/>
        <v>0.22042779181170893</v>
      </c>
      <c r="T840" s="20">
        <f t="shared" si="78"/>
        <v>0.21870687173218731</v>
      </c>
      <c r="U840" s="20"/>
    </row>
    <row r="841" spans="15:21" x14ac:dyDescent="0.35">
      <c r="O841" s="18">
        <v>5</v>
      </c>
      <c r="P841" s="18">
        <f t="shared" si="76"/>
        <v>4195</v>
      </c>
      <c r="Q841" s="3">
        <f t="shared" si="79"/>
        <v>1.0912918545448423E-5</v>
      </c>
      <c r="R841" s="3">
        <f t="shared" si="75"/>
        <v>5.4564592727242113E-5</v>
      </c>
      <c r="S841" s="3">
        <f t="shared" si="77"/>
        <v>0.22048246852964198</v>
      </c>
      <c r="T841" s="20">
        <f t="shared" si="78"/>
        <v>0.21825837090896844</v>
      </c>
      <c r="U841" s="20"/>
    </row>
    <row r="842" spans="15:21" x14ac:dyDescent="0.35">
      <c r="O842" s="18">
        <v>5</v>
      </c>
      <c r="P842" s="18">
        <f t="shared" si="76"/>
        <v>4200</v>
      </c>
      <c r="Q842" s="3">
        <f t="shared" si="79"/>
        <v>1.0890548527714533E-5</v>
      </c>
      <c r="R842" s="3">
        <f t="shared" si="75"/>
        <v>5.4452742638572667E-5</v>
      </c>
      <c r="S842" s="3">
        <f t="shared" si="77"/>
        <v>0.22053703312236922</v>
      </c>
      <c r="T842" s="20">
        <f t="shared" si="78"/>
        <v>0.21781097055429066</v>
      </c>
      <c r="U842" s="20"/>
    </row>
    <row r="843" spans="15:21" x14ac:dyDescent="0.35">
      <c r="O843" s="18">
        <v>5</v>
      </c>
      <c r="P843" s="18">
        <f t="shared" si="76"/>
        <v>4205</v>
      </c>
      <c r="Q843" s="3">
        <f t="shared" si="79"/>
        <v>1.0868233359590423E-5</v>
      </c>
      <c r="R843" s="3">
        <f t="shared" si="75"/>
        <v>5.4341166797952119E-5</v>
      </c>
      <c r="S843" s="3">
        <f t="shared" si="77"/>
        <v>0.22059148586500779</v>
      </c>
      <c r="T843" s="20">
        <f t="shared" si="78"/>
        <v>0.2173646671918085</v>
      </c>
      <c r="U843" s="20"/>
    </row>
    <row r="844" spans="15:21" x14ac:dyDescent="0.35">
      <c r="O844" s="18">
        <v>5</v>
      </c>
      <c r="P844" s="18">
        <f t="shared" si="76"/>
        <v>4210</v>
      </c>
      <c r="Q844" s="3">
        <f t="shared" si="79"/>
        <v>1.0845972867981664E-5</v>
      </c>
      <c r="R844" s="3">
        <f t="shared" si="75"/>
        <v>5.422986433990832E-5</v>
      </c>
      <c r="S844" s="3">
        <f t="shared" si="77"/>
        <v>0.22064582703180574</v>
      </c>
      <c r="T844" s="20">
        <f t="shared" si="78"/>
        <v>0.21691945735963325</v>
      </c>
      <c r="U844" s="20"/>
    </row>
    <row r="845" spans="15:21" x14ac:dyDescent="0.35">
      <c r="O845" s="18">
        <v>5</v>
      </c>
      <c r="P845" s="18">
        <f t="shared" si="76"/>
        <v>4215</v>
      </c>
      <c r="Q845" s="3">
        <f t="shared" si="79"/>
        <v>1.0823766880512797E-5</v>
      </c>
      <c r="R845" s="3">
        <f t="shared" si="75"/>
        <v>5.4118834402563983E-5</v>
      </c>
      <c r="S845" s="3">
        <f t="shared" si="77"/>
        <v>0.22070005689614566</v>
      </c>
      <c r="T845" s="20">
        <f t="shared" si="78"/>
        <v>0.21647533761025592</v>
      </c>
      <c r="U845" s="20"/>
    </row>
    <row r="846" spans="15:21" x14ac:dyDescent="0.35">
      <c r="O846" s="18">
        <v>5</v>
      </c>
      <c r="P846" s="18">
        <f t="shared" si="76"/>
        <v>4220</v>
      </c>
      <c r="Q846" s="3">
        <f t="shared" si="79"/>
        <v>1.0801615225523572E-5</v>
      </c>
      <c r="R846" s="3">
        <f t="shared" si="75"/>
        <v>5.4008076127617856E-5</v>
      </c>
      <c r="S846" s="3">
        <f t="shared" si="77"/>
        <v>0.22075417573054823</v>
      </c>
      <c r="T846" s="20">
        <f t="shared" si="78"/>
        <v>0.21603230451047142</v>
      </c>
      <c r="U846" s="20"/>
    </row>
    <row r="847" spans="15:21" x14ac:dyDescent="0.35">
      <c r="O847" s="18">
        <v>5</v>
      </c>
      <c r="P847" s="18">
        <f t="shared" si="76"/>
        <v>4225</v>
      </c>
      <c r="Q847" s="3">
        <f t="shared" si="79"/>
        <v>1.0779517732065118E-5</v>
      </c>
      <c r="R847" s="3">
        <f t="shared" si="75"/>
        <v>5.3897588660325592E-5</v>
      </c>
      <c r="S847" s="3">
        <f t="shared" si="77"/>
        <v>0.22080818380667586</v>
      </c>
      <c r="T847" s="20">
        <f t="shared" si="78"/>
        <v>0.21559035464130236</v>
      </c>
      <c r="U847" s="20"/>
    </row>
    <row r="848" spans="15:21" x14ac:dyDescent="0.35">
      <c r="O848" s="18">
        <v>5</v>
      </c>
      <c r="P848" s="18">
        <f t="shared" si="76"/>
        <v>4230</v>
      </c>
      <c r="Q848" s="3">
        <f t="shared" si="79"/>
        <v>1.0757474229896218E-5</v>
      </c>
      <c r="R848" s="3">
        <f t="shared" si="75"/>
        <v>5.3787371149481088E-5</v>
      </c>
      <c r="S848" s="3">
        <f t="shared" si="77"/>
        <v>0.22086208139533617</v>
      </c>
      <c r="T848" s="20">
        <f t="shared" si="78"/>
        <v>0.21514948459792435</v>
      </c>
      <c r="U848" s="20"/>
    </row>
    <row r="849" spans="15:21" x14ac:dyDescent="0.35">
      <c r="O849" s="18">
        <v>5</v>
      </c>
      <c r="P849" s="18">
        <f t="shared" si="76"/>
        <v>4235</v>
      </c>
      <c r="Q849" s="3">
        <f t="shared" si="79"/>
        <v>1.0735484549479541E-5</v>
      </c>
      <c r="R849" s="3">
        <f t="shared" si="75"/>
        <v>5.3677422747397711E-5</v>
      </c>
      <c r="S849" s="3">
        <f t="shared" si="77"/>
        <v>0.22091586876648564</v>
      </c>
      <c r="T849" s="20">
        <f t="shared" si="78"/>
        <v>0.21470969098959081</v>
      </c>
      <c r="U849" s="20"/>
    </row>
    <row r="850" spans="15:21" x14ac:dyDescent="0.35">
      <c r="O850" s="18">
        <v>5</v>
      </c>
      <c r="P850" s="18">
        <f t="shared" si="76"/>
        <v>4240</v>
      </c>
      <c r="Q850" s="3">
        <f t="shared" si="79"/>
        <v>1.0713548521977951E-5</v>
      </c>
      <c r="R850" s="3">
        <f t="shared" si="75"/>
        <v>5.3567742609889757E-5</v>
      </c>
      <c r="S850" s="3">
        <f t="shared" si="77"/>
        <v>0.22096954618923303</v>
      </c>
      <c r="T850" s="20">
        <f t="shared" si="78"/>
        <v>0.21427097043955906</v>
      </c>
      <c r="U850" s="20"/>
    </row>
    <row r="851" spans="15:21" x14ac:dyDescent="0.35">
      <c r="O851" s="18">
        <v>5</v>
      </c>
      <c r="P851" s="18">
        <f t="shared" si="76"/>
        <v>4245</v>
      </c>
      <c r="Q851" s="3">
        <f t="shared" si="79"/>
        <v>1.0691665979250822E-5</v>
      </c>
      <c r="R851" s="3">
        <f t="shared" si="75"/>
        <v>5.3458329896254108E-5</v>
      </c>
      <c r="S851" s="3">
        <f t="shared" si="77"/>
        <v>0.22102311393184293</v>
      </c>
      <c r="T851" s="20">
        <f t="shared" si="78"/>
        <v>0.21383331958501645</v>
      </c>
      <c r="U851" s="20"/>
    </row>
    <row r="852" spans="15:21" x14ac:dyDescent="0.35">
      <c r="O852" s="18">
        <v>5</v>
      </c>
      <c r="P852" s="18">
        <f t="shared" si="76"/>
        <v>4250</v>
      </c>
      <c r="Q852" s="3">
        <f t="shared" si="79"/>
        <v>1.0669836753850366E-5</v>
      </c>
      <c r="R852" s="3">
        <f t="shared" si="75"/>
        <v>5.334918376925183E-5</v>
      </c>
      <c r="S852" s="3">
        <f t="shared" si="77"/>
        <v>0.22107657226173918</v>
      </c>
      <c r="T852" s="20">
        <f t="shared" si="78"/>
        <v>0.21339673507700735</v>
      </c>
      <c r="U852" s="20"/>
    </row>
    <row r="853" spans="15:21" x14ac:dyDescent="0.35">
      <c r="O853" s="18">
        <v>5</v>
      </c>
      <c r="P853" s="18">
        <f t="shared" si="76"/>
        <v>4255</v>
      </c>
      <c r="Q853" s="3">
        <f t="shared" si="79"/>
        <v>1.0648060679017982E-5</v>
      </c>
      <c r="R853" s="3">
        <f t="shared" si="75"/>
        <v>5.3240303395089906E-5</v>
      </c>
      <c r="S853" s="3">
        <f t="shared" si="77"/>
        <v>0.22112992144550844</v>
      </c>
      <c r="T853" s="20">
        <f t="shared" si="78"/>
        <v>0.21296121358035963</v>
      </c>
      <c r="U853" s="20"/>
    </row>
    <row r="854" spans="15:21" x14ac:dyDescent="0.35">
      <c r="O854" s="18">
        <v>5</v>
      </c>
      <c r="P854" s="18">
        <f t="shared" si="76"/>
        <v>4260</v>
      </c>
      <c r="Q854" s="3">
        <f t="shared" si="79"/>
        <v>1.0626337588680668E-5</v>
      </c>
      <c r="R854" s="3">
        <f t="shared" si="75"/>
        <v>5.3131687943403337E-5</v>
      </c>
      <c r="S854" s="3">
        <f t="shared" si="77"/>
        <v>0.22118316174890354</v>
      </c>
      <c r="T854" s="20">
        <f t="shared" si="78"/>
        <v>0.21252675177361335</v>
      </c>
      <c r="U854" s="20"/>
    </row>
    <row r="855" spans="15:21" x14ac:dyDescent="0.35">
      <c r="O855" s="18">
        <v>5</v>
      </c>
      <c r="P855" s="18">
        <f t="shared" si="76"/>
        <v>4265</v>
      </c>
      <c r="Q855" s="3">
        <f t="shared" si="79"/>
        <v>1.0604667317447398E-5</v>
      </c>
      <c r="R855" s="3">
        <f t="shared" si="75"/>
        <v>5.3023336587236988E-5</v>
      </c>
      <c r="S855" s="3">
        <f t="shared" si="77"/>
        <v>0.22123629343684695</v>
      </c>
      <c r="T855" s="20">
        <f t="shared" si="78"/>
        <v>0.21209334634894797</v>
      </c>
      <c r="U855" s="20"/>
    </row>
    <row r="856" spans="15:21" x14ac:dyDescent="0.35">
      <c r="O856" s="18">
        <v>5</v>
      </c>
      <c r="P856" s="18">
        <f t="shared" si="76"/>
        <v>4270</v>
      </c>
      <c r="Q856" s="3">
        <f t="shared" si="79"/>
        <v>1.0583049700605556E-5</v>
      </c>
      <c r="R856" s="3">
        <f t="shared" si="75"/>
        <v>5.2915248503027784E-5</v>
      </c>
      <c r="S856" s="3">
        <f t="shared" si="77"/>
        <v>0.22128931677343419</v>
      </c>
      <c r="T856" s="20">
        <f t="shared" si="78"/>
        <v>0.21166099401211111</v>
      </c>
      <c r="U856" s="20"/>
    </row>
    <row r="857" spans="15:21" x14ac:dyDescent="0.35">
      <c r="O857" s="18">
        <v>5</v>
      </c>
      <c r="P857" s="18">
        <f t="shared" si="76"/>
        <v>4275</v>
      </c>
      <c r="Q857" s="3">
        <f t="shared" si="79"/>
        <v>1.05614845741174E-5</v>
      </c>
      <c r="R857" s="3">
        <f t="shared" si="75"/>
        <v>5.2807422870587001E-5</v>
      </c>
      <c r="S857" s="3">
        <f t="shared" si="77"/>
        <v>0.22134223202193723</v>
      </c>
      <c r="T857" s="20">
        <f t="shared" si="78"/>
        <v>0.21122969148234799</v>
      </c>
      <c r="U857" s="20"/>
    </row>
    <row r="858" spans="15:21" x14ac:dyDescent="0.35">
      <c r="O858" s="18">
        <v>5</v>
      </c>
      <c r="P858" s="18">
        <f t="shared" si="76"/>
        <v>4280</v>
      </c>
      <c r="Q858" s="3">
        <f t="shared" si="79"/>
        <v>1.0539971774616538E-5</v>
      </c>
      <c r="R858" s="3">
        <f t="shared" si="75"/>
        <v>5.2699858873082685E-5</v>
      </c>
      <c r="S858" s="3">
        <f t="shared" si="77"/>
        <v>0.22139503944480782</v>
      </c>
      <c r="T858" s="20">
        <f t="shared" si="78"/>
        <v>0.21079943549233074</v>
      </c>
      <c r="U858" s="20"/>
    </row>
    <row r="859" spans="15:21" x14ac:dyDescent="0.35">
      <c r="O859" s="18">
        <v>5</v>
      </c>
      <c r="P859" s="18">
        <f t="shared" si="76"/>
        <v>4285</v>
      </c>
      <c r="Q859" s="3">
        <f t="shared" si="79"/>
        <v>1.0518511139404399E-5</v>
      </c>
      <c r="R859" s="3">
        <f t="shared" si="75"/>
        <v>5.2592555697021995E-5</v>
      </c>
      <c r="S859" s="3">
        <f t="shared" si="77"/>
        <v>0.22144773930368089</v>
      </c>
      <c r="T859" s="20">
        <f t="shared" si="78"/>
        <v>0.21037022278808798</v>
      </c>
      <c r="U859" s="20"/>
    </row>
    <row r="860" spans="15:21" x14ac:dyDescent="0.35">
      <c r="O860" s="18">
        <v>5</v>
      </c>
      <c r="P860" s="18">
        <f t="shared" si="76"/>
        <v>4290</v>
      </c>
      <c r="Q860" s="3">
        <f t="shared" si="79"/>
        <v>1.0497102506446768E-5</v>
      </c>
      <c r="R860" s="3">
        <f t="shared" si="75"/>
        <v>5.2485512532233841E-5</v>
      </c>
      <c r="S860" s="3">
        <f t="shared" si="77"/>
        <v>0.22150033185937792</v>
      </c>
      <c r="T860" s="20">
        <f t="shared" si="78"/>
        <v>0.20994205012893535</v>
      </c>
      <c r="U860" s="20"/>
    </row>
    <row r="861" spans="15:21" x14ac:dyDescent="0.35">
      <c r="O861" s="18">
        <v>5</v>
      </c>
      <c r="P861" s="18">
        <f t="shared" si="76"/>
        <v>4295</v>
      </c>
      <c r="Q861" s="3">
        <f t="shared" si="79"/>
        <v>1.0475745714370349E-5</v>
      </c>
      <c r="R861" s="3">
        <f t="shared" si="75"/>
        <v>5.2378728571851747E-5</v>
      </c>
      <c r="S861" s="3">
        <f t="shared" si="77"/>
        <v>0.22155281737191015</v>
      </c>
      <c r="T861" s="20">
        <f t="shared" si="78"/>
        <v>0.20951491428740701</v>
      </c>
      <c r="U861" s="20"/>
    </row>
    <row r="862" spans="15:21" x14ac:dyDescent="0.35">
      <c r="O862" s="18">
        <v>5</v>
      </c>
      <c r="P862" s="18">
        <f t="shared" si="76"/>
        <v>4300</v>
      </c>
      <c r="Q862" s="3">
        <f t="shared" si="79"/>
        <v>1.0454440602459287E-5</v>
      </c>
      <c r="R862" s="3">
        <f t="shared" si="75"/>
        <v>5.2272203012296437E-5</v>
      </c>
      <c r="S862" s="3">
        <f t="shared" si="77"/>
        <v>0.22160519610048202</v>
      </c>
      <c r="T862" s="20">
        <f t="shared" si="78"/>
        <v>0.20908881204918575</v>
      </c>
      <c r="U862" s="20"/>
    </row>
    <row r="863" spans="15:21" x14ac:dyDescent="0.35">
      <c r="O863" s="18">
        <v>5</v>
      </c>
      <c r="P863" s="18">
        <f t="shared" si="76"/>
        <v>4305</v>
      </c>
      <c r="Q863" s="3">
        <f t="shared" si="79"/>
        <v>1.0433187010651786E-5</v>
      </c>
      <c r="R863" s="3">
        <f t="shared" si="75"/>
        <v>5.2165935053258928E-5</v>
      </c>
      <c r="S863" s="3">
        <f t="shared" si="77"/>
        <v>0.22165746830349431</v>
      </c>
      <c r="T863" s="20">
        <f t="shared" si="78"/>
        <v>0.20866374021303574</v>
      </c>
      <c r="U863" s="20"/>
    </row>
    <row r="864" spans="15:21" x14ac:dyDescent="0.35">
      <c r="O864" s="18">
        <v>5</v>
      </c>
      <c r="P864" s="18">
        <f t="shared" si="76"/>
        <v>4310</v>
      </c>
      <c r="Q864" s="3">
        <f t="shared" si="79"/>
        <v>1.0411984779536704E-5</v>
      </c>
      <c r="R864" s="3">
        <f t="shared" si="75"/>
        <v>5.2059923897683521E-5</v>
      </c>
      <c r="S864" s="3">
        <f t="shared" si="77"/>
        <v>0.22170963423854756</v>
      </c>
      <c r="T864" s="20">
        <f t="shared" si="78"/>
        <v>0.2082396955907341</v>
      </c>
      <c r="U864" s="20"/>
    </row>
    <row r="865" spans="15:21" x14ac:dyDescent="0.35">
      <c r="O865" s="18">
        <v>5</v>
      </c>
      <c r="P865" s="18">
        <f t="shared" si="76"/>
        <v>4315</v>
      </c>
      <c r="Q865" s="3">
        <f t="shared" si="79"/>
        <v>1.039083375035016E-5</v>
      </c>
      <c r="R865" s="3">
        <f t="shared" si="75"/>
        <v>5.1954168751750798E-5</v>
      </c>
      <c r="S865" s="3">
        <f t="shared" si="77"/>
        <v>0.22176169416244523</v>
      </c>
      <c r="T865" s="20">
        <f t="shared" si="78"/>
        <v>0.20781667500700318</v>
      </c>
      <c r="U865" s="20"/>
    </row>
    <row r="866" spans="15:21" x14ac:dyDescent="0.35">
      <c r="O866" s="18">
        <v>5</v>
      </c>
      <c r="P866" s="18">
        <f t="shared" si="76"/>
        <v>4320</v>
      </c>
      <c r="Q866" s="3">
        <f t="shared" si="79"/>
        <v>1.0369733764972221E-5</v>
      </c>
      <c r="R866" s="3">
        <f t="shared" si="75"/>
        <v>5.1848668824861104E-5</v>
      </c>
      <c r="S866" s="3">
        <f t="shared" si="77"/>
        <v>0.22181364833119699</v>
      </c>
      <c r="T866" s="20">
        <f t="shared" si="78"/>
        <v>0.20739467529944441</v>
      </c>
      <c r="U866" s="20"/>
    </row>
    <row r="867" spans="15:21" x14ac:dyDescent="0.35">
      <c r="O867" s="18">
        <v>5</v>
      </c>
      <c r="P867" s="18">
        <f t="shared" si="76"/>
        <v>4325</v>
      </c>
      <c r="Q867" s="3">
        <f t="shared" si="79"/>
        <v>1.034868466592356E-5</v>
      </c>
      <c r="R867" s="3">
        <f t="shared" si="75"/>
        <v>5.1743423329617802E-5</v>
      </c>
      <c r="S867" s="3">
        <f t="shared" si="77"/>
        <v>0.22186549700002184</v>
      </c>
      <c r="T867" s="20">
        <f t="shared" si="78"/>
        <v>0.20697369331847118</v>
      </c>
      <c r="U867" s="20"/>
    </row>
    <row r="868" spans="15:21" x14ac:dyDescent="0.35">
      <c r="O868" s="18">
        <v>5</v>
      </c>
      <c r="P868" s="18">
        <f t="shared" si="76"/>
        <v>4330</v>
      </c>
      <c r="Q868" s="3">
        <f t="shared" si="79"/>
        <v>1.0327686296362127E-5</v>
      </c>
      <c r="R868" s="3">
        <f t="shared" si="75"/>
        <v>5.1638431481810631E-5</v>
      </c>
      <c r="S868" s="3">
        <f t="shared" si="77"/>
        <v>0.22191724042335145</v>
      </c>
      <c r="T868" s="20">
        <f t="shared" si="78"/>
        <v>0.20655372592724253</v>
      </c>
      <c r="U868" s="20"/>
    </row>
    <row r="869" spans="15:21" x14ac:dyDescent="0.35">
      <c r="O869" s="18">
        <v>5</v>
      </c>
      <c r="P869" s="18">
        <f t="shared" si="76"/>
        <v>4335</v>
      </c>
      <c r="Q869" s="3">
        <f t="shared" si="79"/>
        <v>1.030673850007988E-5</v>
      </c>
      <c r="R869" s="3">
        <f t="shared" si="75"/>
        <v>5.15336925003994E-5</v>
      </c>
      <c r="S869" s="3">
        <f t="shared" si="77"/>
        <v>0.22196887885483327</v>
      </c>
      <c r="T869" s="20">
        <f t="shared" si="78"/>
        <v>0.20613477000159761</v>
      </c>
      <c r="U869" s="20"/>
    </row>
    <row r="870" spans="15:21" x14ac:dyDescent="0.35">
      <c r="O870" s="18">
        <v>5</v>
      </c>
      <c r="P870" s="18">
        <f t="shared" si="76"/>
        <v>4340</v>
      </c>
      <c r="Q870" s="3">
        <f t="shared" si="79"/>
        <v>1.0285841121499524E-5</v>
      </c>
      <c r="R870" s="3">
        <f t="shared" si="75"/>
        <v>5.1429205607497619E-5</v>
      </c>
      <c r="S870" s="3">
        <f t="shared" si="77"/>
        <v>0.22202041254733368</v>
      </c>
      <c r="T870" s="20">
        <f t="shared" si="78"/>
        <v>0.20571682242999045</v>
      </c>
      <c r="U870" s="20"/>
    </row>
    <row r="871" spans="15:21" x14ac:dyDescent="0.35">
      <c r="O871" s="18">
        <v>5</v>
      </c>
      <c r="P871" s="18">
        <f t="shared" si="76"/>
        <v>4345</v>
      </c>
      <c r="Q871" s="3">
        <f t="shared" si="79"/>
        <v>1.0264994005671258E-5</v>
      </c>
      <c r="R871" s="3">
        <f t="shared" si="75"/>
        <v>5.132497002835629E-5</v>
      </c>
      <c r="S871" s="3">
        <f t="shared" si="77"/>
        <v>0.22207184175294117</v>
      </c>
      <c r="T871" s="20">
        <f t="shared" si="78"/>
        <v>0.20529988011342515</v>
      </c>
      <c r="U871" s="20"/>
    </row>
    <row r="872" spans="15:21" x14ac:dyDescent="0.35">
      <c r="O872" s="18">
        <v>5</v>
      </c>
      <c r="P872" s="18">
        <f t="shared" si="76"/>
        <v>4350</v>
      </c>
      <c r="Q872" s="3">
        <f t="shared" si="79"/>
        <v>1.0244196998269536E-5</v>
      </c>
      <c r="R872" s="3">
        <f t="shared" si="75"/>
        <v>5.1220984991347682E-5</v>
      </c>
      <c r="S872" s="3">
        <f t="shared" si="77"/>
        <v>0.22212316672296953</v>
      </c>
      <c r="T872" s="20">
        <f t="shared" si="78"/>
        <v>0.20488393996539073</v>
      </c>
      <c r="U872" s="20"/>
    </row>
    <row r="873" spans="15:21" x14ac:dyDescent="0.35">
      <c r="O873" s="18">
        <v>5</v>
      </c>
      <c r="P873" s="18">
        <f t="shared" si="76"/>
        <v>4355</v>
      </c>
      <c r="Q873" s="3">
        <f t="shared" si="79"/>
        <v>1.0223449945589869E-5</v>
      </c>
      <c r="R873" s="3">
        <f t="shared" si="75"/>
        <v>5.1117249727949344E-5</v>
      </c>
      <c r="S873" s="3">
        <f t="shared" si="77"/>
        <v>0.22217438770796089</v>
      </c>
      <c r="T873" s="20">
        <f t="shared" si="78"/>
        <v>0.2044689989117974</v>
      </c>
      <c r="U873" s="20"/>
    </row>
    <row r="874" spans="15:21" x14ac:dyDescent="0.35">
      <c r="O874" s="18">
        <v>5</v>
      </c>
      <c r="P874" s="18">
        <f t="shared" si="76"/>
        <v>4360</v>
      </c>
      <c r="Q874" s="3">
        <f t="shared" si="79"/>
        <v>1.0202752694545665E-5</v>
      </c>
      <c r="R874" s="3">
        <f t="shared" si="75"/>
        <v>5.1013763472728324E-5</v>
      </c>
      <c r="S874" s="3">
        <f t="shared" si="77"/>
        <v>0.22222550495768884</v>
      </c>
      <c r="T874" s="20">
        <f t="shared" si="78"/>
        <v>0.2040550538909133</v>
      </c>
      <c r="U874" s="20"/>
    </row>
    <row r="875" spans="15:21" x14ac:dyDescent="0.35">
      <c r="O875" s="18">
        <v>5</v>
      </c>
      <c r="P875" s="18">
        <f t="shared" si="76"/>
        <v>4365</v>
      </c>
      <c r="Q875" s="3">
        <f t="shared" si="79"/>
        <v>1.0182105092665022E-5</v>
      </c>
      <c r="R875" s="3">
        <f t="shared" si="75"/>
        <v>5.0910525463325113E-5</v>
      </c>
      <c r="S875" s="3">
        <f t="shared" si="77"/>
        <v>0.22227651872116155</v>
      </c>
      <c r="T875" s="20">
        <f t="shared" si="78"/>
        <v>0.20364210185330048</v>
      </c>
      <c r="U875" s="20"/>
    </row>
    <row r="876" spans="15:21" x14ac:dyDescent="0.35">
      <c r="O876" s="18">
        <v>5</v>
      </c>
      <c r="P876" s="18">
        <f t="shared" si="76"/>
        <v>4370</v>
      </c>
      <c r="Q876" s="3">
        <f t="shared" si="79"/>
        <v>1.0161506988087595E-5</v>
      </c>
      <c r="R876" s="3">
        <f t="shared" si="75"/>
        <v>5.0807534940437971E-5</v>
      </c>
      <c r="S876" s="3">
        <f t="shared" si="77"/>
        <v>0.22232742924662488</v>
      </c>
      <c r="T876" s="20">
        <f t="shared" si="78"/>
        <v>0.20323013976175192</v>
      </c>
      <c r="U876" s="20"/>
    </row>
    <row r="877" spans="15:21" x14ac:dyDescent="0.35">
      <c r="O877" s="18">
        <v>5</v>
      </c>
      <c r="P877" s="18">
        <f t="shared" si="76"/>
        <v>4375</v>
      </c>
      <c r="Q877" s="3">
        <f t="shared" si="79"/>
        <v>1.0140958229561499E-5</v>
      </c>
      <c r="R877" s="3">
        <f t="shared" si="75"/>
        <v>5.0704791147807498E-5</v>
      </c>
      <c r="S877" s="3">
        <f t="shared" si="77"/>
        <v>0.22237823678156532</v>
      </c>
      <c r="T877" s="20">
        <f t="shared" si="78"/>
        <v>0.20281916459122998</v>
      </c>
      <c r="U877" s="20"/>
    </row>
    <row r="878" spans="15:21" x14ac:dyDescent="0.35">
      <c r="O878" s="18">
        <v>5</v>
      </c>
      <c r="P878" s="18">
        <f t="shared" si="76"/>
        <v>4380</v>
      </c>
      <c r="Q878" s="3">
        <f t="shared" si="79"/>
        <v>1.0120458666440164E-5</v>
      </c>
      <c r="R878" s="3">
        <f t="shared" si="75"/>
        <v>5.0602293332200815E-5</v>
      </c>
      <c r="S878" s="3">
        <f t="shared" si="77"/>
        <v>0.22242894157271312</v>
      </c>
      <c r="T878" s="20">
        <f t="shared" si="78"/>
        <v>0.20240917332880326</v>
      </c>
      <c r="U878" s="20"/>
    </row>
    <row r="879" spans="15:21" x14ac:dyDescent="0.35">
      <c r="O879" s="18">
        <v>5</v>
      </c>
      <c r="P879" s="18">
        <f t="shared" si="76"/>
        <v>4385</v>
      </c>
      <c r="Q879" s="3">
        <f t="shared" si="79"/>
        <v>1.0100008148679261E-5</v>
      </c>
      <c r="R879" s="3">
        <f t="shared" si="75"/>
        <v>5.0500040743396308E-5</v>
      </c>
      <c r="S879" s="3">
        <f t="shared" si="77"/>
        <v>0.22247954386604532</v>
      </c>
      <c r="T879" s="20">
        <f t="shared" si="78"/>
        <v>0.20200016297358522</v>
      </c>
      <c r="U879" s="20"/>
    </row>
    <row r="880" spans="15:21" x14ac:dyDescent="0.35">
      <c r="O880" s="18">
        <v>5</v>
      </c>
      <c r="P880" s="18">
        <f t="shared" si="76"/>
        <v>4390</v>
      </c>
      <c r="Q880" s="3">
        <f t="shared" si="79"/>
        <v>1.0079606526833643E-5</v>
      </c>
      <c r="R880" s="3">
        <f t="shared" si="75"/>
        <v>5.0398032634168216E-5</v>
      </c>
      <c r="S880" s="3">
        <f t="shared" si="77"/>
        <v>0.22253004390678871</v>
      </c>
      <c r="T880" s="20">
        <f t="shared" si="78"/>
        <v>0.20159213053667285</v>
      </c>
      <c r="U880" s="20"/>
    </row>
    <row r="881" spans="15:21" x14ac:dyDescent="0.35">
      <c r="O881" s="18">
        <v>5</v>
      </c>
      <c r="P881" s="18">
        <f t="shared" si="76"/>
        <v>4395</v>
      </c>
      <c r="Q881" s="3">
        <f t="shared" si="79"/>
        <v>1.0059253652054277E-5</v>
      </c>
      <c r="R881" s="3">
        <f t="shared" si="75"/>
        <v>5.0296268260271385E-5</v>
      </c>
      <c r="S881" s="3">
        <f t="shared" si="77"/>
        <v>0.22258044193942289</v>
      </c>
      <c r="T881" s="20">
        <f t="shared" si="78"/>
        <v>0.20118507304108554</v>
      </c>
      <c r="U881" s="20"/>
    </row>
    <row r="882" spans="15:21" x14ac:dyDescent="0.35">
      <c r="O882" s="18">
        <v>5</v>
      </c>
      <c r="P882" s="18">
        <f t="shared" si="76"/>
        <v>4400</v>
      </c>
      <c r="Q882" s="3">
        <f t="shared" si="79"/>
        <v>1.0038949376085243E-5</v>
      </c>
      <c r="R882" s="3">
        <f t="shared" si="75"/>
        <v>5.0194746880426213E-5</v>
      </c>
      <c r="S882" s="3">
        <f t="shared" si="77"/>
        <v>0.22263073820768317</v>
      </c>
      <c r="T882" s="20">
        <f t="shared" si="78"/>
        <v>0.20077898752170484</v>
      </c>
      <c r="U882" s="20"/>
    </row>
    <row r="883" spans="15:21" x14ac:dyDescent="0.35">
      <c r="O883" s="18">
        <v>5</v>
      </c>
      <c r="P883" s="18">
        <f t="shared" si="76"/>
        <v>4405</v>
      </c>
      <c r="Q883" s="3">
        <f t="shared" si="79"/>
        <v>1.0018693551260703E-5</v>
      </c>
      <c r="R883" s="3">
        <f t="shared" si="75"/>
        <v>5.0093467756303515E-5</v>
      </c>
      <c r="S883" s="3">
        <f t="shared" si="77"/>
        <v>0.22268093295456359</v>
      </c>
      <c r="T883" s="20">
        <f t="shared" si="78"/>
        <v>0.20037387102521403</v>
      </c>
      <c r="U883" s="20"/>
    </row>
    <row r="884" spans="15:21" x14ac:dyDescent="0.35">
      <c r="O884" s="18">
        <v>5</v>
      </c>
      <c r="P884" s="18">
        <f t="shared" si="76"/>
        <v>4410</v>
      </c>
      <c r="Q884" s="3">
        <f t="shared" si="79"/>
        <v>9.9984860305018912E-6</v>
      </c>
      <c r="R884" s="3">
        <f t="shared" si="75"/>
        <v>4.9992430152509456E-5</v>
      </c>
      <c r="S884" s="3">
        <f t="shared" si="77"/>
        <v>0.2227310264223199</v>
      </c>
      <c r="T884" s="20">
        <f t="shared" si="78"/>
        <v>0.19996972061003782</v>
      </c>
      <c r="U884" s="20"/>
    </row>
    <row r="885" spans="15:21" x14ac:dyDescent="0.35">
      <c r="O885" s="18">
        <v>5</v>
      </c>
      <c r="P885" s="18">
        <f t="shared" si="76"/>
        <v>4415</v>
      </c>
      <c r="Q885" s="3">
        <f t="shared" si="79"/>
        <v>9.9783266673141841E-6</v>
      </c>
      <c r="R885" s="3">
        <f t="shared" si="75"/>
        <v>4.9891633336570919E-5</v>
      </c>
      <c r="S885" s="3">
        <f t="shared" si="77"/>
        <v>0.2227810188524724</v>
      </c>
      <c r="T885" s="20">
        <f t="shared" si="78"/>
        <v>0.19956653334628366</v>
      </c>
      <c r="U885" s="20"/>
    </row>
    <row r="886" spans="15:21" x14ac:dyDescent="0.35">
      <c r="O886" s="18">
        <v>5</v>
      </c>
      <c r="P886" s="18">
        <f t="shared" si="76"/>
        <v>4420</v>
      </c>
      <c r="Q886" s="3">
        <f t="shared" si="79"/>
        <v>9.9582153157840912E-6</v>
      </c>
      <c r="R886" s="3">
        <f t="shared" si="75"/>
        <v>4.9791076578920456E-5</v>
      </c>
      <c r="S886" s="3">
        <f t="shared" si="77"/>
        <v>0.22283091048580897</v>
      </c>
      <c r="T886" s="20">
        <f t="shared" si="78"/>
        <v>0.19916430631568183</v>
      </c>
      <c r="U886" s="20"/>
    </row>
    <row r="887" spans="15:21" x14ac:dyDescent="0.35">
      <c r="O887" s="18">
        <v>5</v>
      </c>
      <c r="P887" s="18">
        <f t="shared" si="76"/>
        <v>4425</v>
      </c>
      <c r="Q887" s="3">
        <f t="shared" si="79"/>
        <v>9.9381518305763661E-6</v>
      </c>
      <c r="R887" s="3">
        <f t="shared" si="75"/>
        <v>4.9690759152881827E-5</v>
      </c>
      <c r="S887" s="3">
        <f t="shared" si="77"/>
        <v>0.2228807015623879</v>
      </c>
      <c r="T887" s="20">
        <f t="shared" si="78"/>
        <v>0.19876303661152731</v>
      </c>
      <c r="U887" s="20"/>
    </row>
    <row r="888" spans="15:21" x14ac:dyDescent="0.35">
      <c r="O888" s="18">
        <v>5</v>
      </c>
      <c r="P888" s="18">
        <f t="shared" si="76"/>
        <v>4430</v>
      </c>
      <c r="Q888" s="3">
        <f t="shared" si="79"/>
        <v>9.918136066931074E-6</v>
      </c>
      <c r="R888" s="3">
        <f t="shared" si="75"/>
        <v>4.959068033465537E-5</v>
      </c>
      <c r="S888" s="3">
        <f t="shared" si="77"/>
        <v>0.22293039232154077</v>
      </c>
      <c r="T888" s="20">
        <f t="shared" si="78"/>
        <v>0.19836272133862148</v>
      </c>
      <c r="U888" s="20"/>
    </row>
    <row r="889" spans="15:21" x14ac:dyDescent="0.35">
      <c r="O889" s="18">
        <v>5</v>
      </c>
      <c r="P889" s="18">
        <f t="shared" si="76"/>
        <v>4435</v>
      </c>
      <c r="Q889" s="3">
        <f t="shared" si="79"/>
        <v>9.8981678806606526E-6</v>
      </c>
      <c r="R889" s="3">
        <f t="shared" si="75"/>
        <v>4.9490839403303263E-5</v>
      </c>
      <c r="S889" s="3">
        <f t="shared" si="77"/>
        <v>0.22297998300187544</v>
      </c>
      <c r="T889" s="20">
        <f t="shared" si="78"/>
        <v>0.19796335761321304</v>
      </c>
      <c r="U889" s="20"/>
    </row>
    <row r="890" spans="15:21" x14ac:dyDescent="0.35">
      <c r="O890" s="18">
        <v>5</v>
      </c>
      <c r="P890" s="18">
        <f t="shared" si="76"/>
        <v>4440</v>
      </c>
      <c r="Q890" s="3">
        <f t="shared" si="79"/>
        <v>9.8782471281470911E-6</v>
      </c>
      <c r="R890" s="3">
        <f t="shared" si="75"/>
        <v>4.9391235640735455E-5</v>
      </c>
      <c r="S890" s="3">
        <f t="shared" si="77"/>
        <v>0.22302947384127875</v>
      </c>
      <c r="T890" s="20">
        <f t="shared" si="78"/>
        <v>0.19756494256294183</v>
      </c>
      <c r="U890" s="20"/>
    </row>
    <row r="891" spans="15:21" x14ac:dyDescent="0.35">
      <c r="O891" s="18">
        <v>5</v>
      </c>
      <c r="P891" s="18">
        <f t="shared" si="76"/>
        <v>4445</v>
      </c>
      <c r="Q891" s="3">
        <f t="shared" si="79"/>
        <v>9.8583736663390202E-6</v>
      </c>
      <c r="R891" s="3">
        <f t="shared" si="75"/>
        <v>4.9291868331695101E-5</v>
      </c>
      <c r="S891" s="3">
        <f t="shared" si="77"/>
        <v>0.22307886507691949</v>
      </c>
      <c r="T891" s="20">
        <f t="shared" si="78"/>
        <v>0.19716747332678039</v>
      </c>
      <c r="U891" s="20"/>
    </row>
    <row r="892" spans="15:21" x14ac:dyDescent="0.35">
      <c r="O892" s="18">
        <v>5</v>
      </c>
      <c r="P892" s="18">
        <f t="shared" si="76"/>
        <v>4450</v>
      </c>
      <c r="Q892" s="3">
        <f t="shared" si="79"/>
        <v>9.838547352748876E-6</v>
      </c>
      <c r="R892" s="3">
        <f t="shared" si="75"/>
        <v>4.919273676374438E-5</v>
      </c>
      <c r="S892" s="3">
        <f t="shared" si="77"/>
        <v>0.22312815694525118</v>
      </c>
      <c r="T892" s="20">
        <f t="shared" si="78"/>
        <v>0.1967709470549775</v>
      </c>
      <c r="U892" s="20"/>
    </row>
    <row r="893" spans="15:21" x14ac:dyDescent="0.35">
      <c r="O893" s="18">
        <v>5</v>
      </c>
      <c r="P893" s="18">
        <f t="shared" si="76"/>
        <v>4455</v>
      </c>
      <c r="Q893" s="3">
        <f t="shared" si="79"/>
        <v>9.8187680454500675E-6</v>
      </c>
      <c r="R893" s="3">
        <f t="shared" si="75"/>
        <v>4.9093840227250337E-5</v>
      </c>
      <c r="S893" s="3">
        <f t="shared" si="77"/>
        <v>0.22317734968201491</v>
      </c>
      <c r="T893" s="20">
        <f t="shared" si="78"/>
        <v>0.19637536090900135</v>
      </c>
      <c r="U893" s="20"/>
    </row>
    <row r="894" spans="15:21" x14ac:dyDescent="0.35">
      <c r="O894" s="18">
        <v>5</v>
      </c>
      <c r="P894" s="18">
        <f t="shared" si="76"/>
        <v>4460</v>
      </c>
      <c r="Q894" s="3">
        <f t="shared" si="79"/>
        <v>9.7990356030741596E-6</v>
      </c>
      <c r="R894" s="3">
        <f t="shared" si="75"/>
        <v>4.8995178015370796E-5</v>
      </c>
      <c r="S894" s="3">
        <f t="shared" si="77"/>
        <v>0.22322644352224216</v>
      </c>
      <c r="T894" s="20">
        <f t="shared" si="78"/>
        <v>0.19598071206148318</v>
      </c>
      <c r="U894" s="20"/>
    </row>
    <row r="895" spans="15:21" x14ac:dyDescent="0.35">
      <c r="O895" s="18">
        <v>5</v>
      </c>
      <c r="P895" s="18">
        <f t="shared" si="76"/>
        <v>4465</v>
      </c>
      <c r="Q895" s="3">
        <f t="shared" si="79"/>
        <v>9.7793498848080913E-6</v>
      </c>
      <c r="R895" s="3">
        <f t="shared" si="75"/>
        <v>4.8896749424040458E-5</v>
      </c>
      <c r="S895" s="3">
        <f t="shared" si="77"/>
        <v>0.22327543870025754</v>
      </c>
      <c r="T895" s="20">
        <f t="shared" si="78"/>
        <v>0.19558699769616186</v>
      </c>
      <c r="U895" s="20"/>
    </row>
    <row r="896" spans="15:21" x14ac:dyDescent="0.35">
      <c r="O896" s="18">
        <v>5</v>
      </c>
      <c r="P896" s="18">
        <f t="shared" si="76"/>
        <v>4470</v>
      </c>
      <c r="Q896" s="3">
        <f t="shared" si="79"/>
        <v>9.7597107503913887E-6</v>
      </c>
      <c r="R896" s="3">
        <f t="shared" si="75"/>
        <v>4.8798553751956943E-5</v>
      </c>
      <c r="S896" s="3">
        <f t="shared" si="77"/>
        <v>0.22332433544968158</v>
      </c>
      <c r="T896" s="20">
        <f t="shared" si="78"/>
        <v>0.19519421500782777</v>
      </c>
      <c r="U896" s="20"/>
    </row>
    <row r="897" spans="15:21" x14ac:dyDescent="0.35">
      <c r="O897" s="18">
        <v>5</v>
      </c>
      <c r="P897" s="18">
        <f t="shared" si="76"/>
        <v>4475</v>
      </c>
      <c r="Q897" s="3">
        <f t="shared" si="79"/>
        <v>9.7401180601134059E-6</v>
      </c>
      <c r="R897" s="3">
        <f t="shared" si="75"/>
        <v>4.8700590300567031E-5</v>
      </c>
      <c r="S897" s="3">
        <f t="shared" si="77"/>
        <v>0.22337313400343353</v>
      </c>
      <c r="T897" s="20">
        <f t="shared" si="78"/>
        <v>0.19480236120226815</v>
      </c>
      <c r="U897" s="20"/>
    </row>
    <row r="898" spans="15:21" x14ac:dyDescent="0.35">
      <c r="O898" s="18">
        <v>5</v>
      </c>
      <c r="P898" s="18">
        <f t="shared" si="76"/>
        <v>4480</v>
      </c>
      <c r="Q898" s="3">
        <f t="shared" si="79"/>
        <v>9.720571674810553E-6</v>
      </c>
      <c r="R898" s="3">
        <f t="shared" ref="R898:R961" si="80">Q898*O898</f>
        <v>4.8602858374052765E-5</v>
      </c>
      <c r="S898" s="3">
        <f t="shared" si="77"/>
        <v>0.2234218345937341</v>
      </c>
      <c r="T898" s="20">
        <f t="shared" si="78"/>
        <v>0.19441143349621104</v>
      </c>
      <c r="U898" s="20"/>
    </row>
    <row r="899" spans="15:21" x14ac:dyDescent="0.35">
      <c r="O899" s="18">
        <v>5</v>
      </c>
      <c r="P899" s="18">
        <f t="shared" ref="P899:P962" si="81">O899+P898</f>
        <v>4485</v>
      </c>
      <c r="Q899" s="3">
        <f t="shared" si="79"/>
        <v>9.7010714558636183E-6</v>
      </c>
      <c r="R899" s="3">
        <f t="shared" si="80"/>
        <v>4.8505357279318093E-5</v>
      </c>
      <c r="S899" s="3">
        <f t="shared" ref="S899:S962" si="82">S898+R898</f>
        <v>0.22347043745210815</v>
      </c>
      <c r="T899" s="20">
        <f t="shared" ref="T899:T962" si="83">Q899*$B$9*$B$2*0.5/$B$11</f>
        <v>0.19402142911727238</v>
      </c>
      <c r="U899" s="20"/>
    </row>
    <row r="900" spans="15:21" x14ac:dyDescent="0.35">
      <c r="O900" s="18">
        <v>5</v>
      </c>
      <c r="P900" s="18">
        <f t="shared" si="81"/>
        <v>4490</v>
      </c>
      <c r="Q900" s="3">
        <f t="shared" ref="Q900:Q963" si="84">$T$2*(1-(S900/$B$12))/($B$9*((0.5*$B$2/$B$11)+(S900/$B$10)))</f>
        <v>9.6816172651950048E-6</v>
      </c>
      <c r="R900" s="3">
        <f t="shared" si="80"/>
        <v>4.8408086325975022E-5</v>
      </c>
      <c r="S900" s="3">
        <f t="shared" si="82"/>
        <v>0.22351894280938747</v>
      </c>
      <c r="T900" s="20">
        <f t="shared" si="83"/>
        <v>0.19363234530390008</v>
      </c>
      <c r="U900" s="20"/>
    </row>
    <row r="901" spans="15:21" x14ac:dyDescent="0.35">
      <c r="O901" s="18">
        <v>5</v>
      </c>
      <c r="P901" s="18">
        <f t="shared" si="81"/>
        <v>4495</v>
      </c>
      <c r="Q901" s="3">
        <f t="shared" si="84"/>
        <v>9.6622089652660791E-6</v>
      </c>
      <c r="R901" s="3">
        <f t="shared" si="80"/>
        <v>4.8311044826330397E-5</v>
      </c>
      <c r="S901" s="3">
        <f t="shared" si="82"/>
        <v>0.22356735089571345</v>
      </c>
      <c r="T901" s="20">
        <f t="shared" si="83"/>
        <v>0.19324417930532156</v>
      </c>
      <c r="U901" s="20"/>
    </row>
    <row r="902" spans="15:21" x14ac:dyDescent="0.35">
      <c r="O902" s="18">
        <v>5</v>
      </c>
      <c r="P902" s="18">
        <f t="shared" si="81"/>
        <v>4500</v>
      </c>
      <c r="Q902" s="3">
        <f t="shared" si="84"/>
        <v>9.6428464190744544E-6</v>
      </c>
      <c r="R902" s="3">
        <f t="shared" si="80"/>
        <v>4.8214232095372268E-5</v>
      </c>
      <c r="S902" s="3">
        <f t="shared" si="82"/>
        <v>0.22361566194053978</v>
      </c>
      <c r="T902" s="20">
        <f t="shared" si="83"/>
        <v>0.1928569283814891</v>
      </c>
      <c r="U902" s="20"/>
    </row>
    <row r="903" spans="15:21" x14ac:dyDescent="0.35">
      <c r="O903" s="18">
        <v>5</v>
      </c>
      <c r="P903" s="18">
        <f t="shared" si="81"/>
        <v>4505</v>
      </c>
      <c r="Q903" s="3">
        <f t="shared" si="84"/>
        <v>9.6235294901513609E-6</v>
      </c>
      <c r="R903" s="3">
        <f t="shared" si="80"/>
        <v>4.8117647450756806E-5</v>
      </c>
      <c r="S903" s="3">
        <f t="shared" si="82"/>
        <v>0.22366387617263514</v>
      </c>
      <c r="T903" s="20">
        <f t="shared" si="83"/>
        <v>0.1924705898030272</v>
      </c>
      <c r="U903" s="20"/>
    </row>
    <row r="904" spans="15:21" x14ac:dyDescent="0.35">
      <c r="O904" s="18">
        <v>5</v>
      </c>
      <c r="P904" s="18">
        <f t="shared" si="81"/>
        <v>4510</v>
      </c>
      <c r="Q904" s="3">
        <f t="shared" si="84"/>
        <v>9.6042580425589644E-6</v>
      </c>
      <c r="R904" s="3">
        <f t="shared" si="80"/>
        <v>4.8021290212794822E-5</v>
      </c>
      <c r="S904" s="3">
        <f t="shared" si="82"/>
        <v>0.22371199382008589</v>
      </c>
      <c r="T904" s="20">
        <f t="shared" si="83"/>
        <v>0.19208516085117927</v>
      </c>
      <c r="U904" s="20"/>
    </row>
    <row r="905" spans="15:21" x14ac:dyDescent="0.35">
      <c r="O905" s="18">
        <v>5</v>
      </c>
      <c r="P905" s="18">
        <f t="shared" si="81"/>
        <v>4515</v>
      </c>
      <c r="Q905" s="3">
        <f t="shared" si="84"/>
        <v>9.5850319408877608E-6</v>
      </c>
      <c r="R905" s="3">
        <f t="shared" si="80"/>
        <v>4.7925159704438801E-5</v>
      </c>
      <c r="S905" s="3">
        <f t="shared" si="82"/>
        <v>0.22376001511029869</v>
      </c>
      <c r="T905" s="20">
        <f t="shared" si="83"/>
        <v>0.19170063881775523</v>
      </c>
      <c r="U905" s="20"/>
    </row>
    <row r="906" spans="15:21" x14ac:dyDescent="0.35">
      <c r="O906" s="18">
        <v>5</v>
      </c>
      <c r="P906" s="18">
        <f t="shared" si="81"/>
        <v>4520</v>
      </c>
      <c r="Q906" s="3">
        <f t="shared" si="84"/>
        <v>9.5658510502539636E-6</v>
      </c>
      <c r="R906" s="3">
        <f t="shared" si="80"/>
        <v>4.782925525126982E-5</v>
      </c>
      <c r="S906" s="3">
        <f t="shared" si="82"/>
        <v>0.22380794027000314</v>
      </c>
      <c r="T906" s="20">
        <f t="shared" si="83"/>
        <v>0.19131702100507927</v>
      </c>
      <c r="U906" s="20"/>
    </row>
    <row r="907" spans="15:21" x14ac:dyDescent="0.35">
      <c r="O907" s="18">
        <v>5</v>
      </c>
      <c r="P907" s="18">
        <f t="shared" si="81"/>
        <v>4525</v>
      </c>
      <c r="Q907" s="3">
        <f t="shared" si="84"/>
        <v>9.5467152362968971E-6</v>
      </c>
      <c r="R907" s="3">
        <f t="shared" si="80"/>
        <v>4.7733576181484487E-5</v>
      </c>
      <c r="S907" s="3">
        <f t="shared" si="82"/>
        <v>0.22385576952525441</v>
      </c>
      <c r="T907" s="20">
        <f t="shared" si="83"/>
        <v>0.19093430472593792</v>
      </c>
      <c r="U907" s="20"/>
    </row>
    <row r="908" spans="15:21" x14ac:dyDescent="0.35">
      <c r="O908" s="18">
        <v>5</v>
      </c>
      <c r="P908" s="18">
        <f t="shared" si="81"/>
        <v>4530</v>
      </c>
      <c r="Q908" s="3">
        <f t="shared" si="84"/>
        <v>9.5276243651763957E-6</v>
      </c>
      <c r="R908" s="3">
        <f t="shared" si="80"/>
        <v>4.7638121825881977E-5</v>
      </c>
      <c r="S908" s="3">
        <f t="shared" si="82"/>
        <v>0.22390350310143589</v>
      </c>
      <c r="T908" s="20">
        <f t="shared" si="83"/>
        <v>0.19055248730352792</v>
      </c>
      <c r="U908" s="20"/>
    </row>
    <row r="909" spans="15:21" x14ac:dyDescent="0.35">
      <c r="O909" s="18">
        <v>5</v>
      </c>
      <c r="P909" s="18">
        <f t="shared" si="81"/>
        <v>4535</v>
      </c>
      <c r="Q909" s="3">
        <f t="shared" si="84"/>
        <v>9.5085783035702697E-6</v>
      </c>
      <c r="R909" s="3">
        <f t="shared" si="80"/>
        <v>4.754289151785135E-5</v>
      </c>
      <c r="S909" s="3">
        <f t="shared" si="82"/>
        <v>0.22395114122326176</v>
      </c>
      <c r="T909" s="20">
        <f t="shared" si="83"/>
        <v>0.1901715660714054</v>
      </c>
      <c r="U909" s="20"/>
    </row>
    <row r="910" spans="15:21" x14ac:dyDescent="0.35">
      <c r="O910" s="18">
        <v>5</v>
      </c>
      <c r="P910" s="18">
        <f t="shared" si="81"/>
        <v>4540</v>
      </c>
      <c r="Q910" s="3">
        <f t="shared" si="84"/>
        <v>9.4895769186717252E-6</v>
      </c>
      <c r="R910" s="3">
        <f t="shared" si="80"/>
        <v>4.7447884593358627E-5</v>
      </c>
      <c r="S910" s="3">
        <f t="shared" si="82"/>
        <v>0.22399868411477961</v>
      </c>
      <c r="T910" s="20">
        <f t="shared" si="83"/>
        <v>0.18979153837343449</v>
      </c>
      <c r="U910" s="20"/>
    </row>
    <row r="911" spans="15:21" x14ac:dyDescent="0.35">
      <c r="O911" s="18">
        <v>5</v>
      </c>
      <c r="P911" s="18">
        <f t="shared" si="81"/>
        <v>4545</v>
      </c>
      <c r="Q911" s="3">
        <f t="shared" si="84"/>
        <v>9.47062007818684E-6</v>
      </c>
      <c r="R911" s="3">
        <f t="shared" si="80"/>
        <v>4.7353100390934198E-5</v>
      </c>
      <c r="S911" s="3">
        <f t="shared" si="82"/>
        <v>0.22404613199937295</v>
      </c>
      <c r="T911" s="20">
        <f t="shared" si="83"/>
        <v>0.18941240156373679</v>
      </c>
      <c r="U911" s="20"/>
    </row>
    <row r="912" spans="15:21" x14ac:dyDescent="0.35">
      <c r="O912" s="18">
        <v>5</v>
      </c>
      <c r="P912" s="18">
        <f t="shared" si="81"/>
        <v>4550</v>
      </c>
      <c r="Q912" s="3">
        <f t="shared" si="84"/>
        <v>9.4517076503320345E-6</v>
      </c>
      <c r="R912" s="3">
        <f t="shared" si="80"/>
        <v>4.7258538251660176E-5</v>
      </c>
      <c r="S912" s="3">
        <f t="shared" si="82"/>
        <v>0.2240934850997639</v>
      </c>
      <c r="T912" s="20">
        <f t="shared" si="83"/>
        <v>0.18903415300664067</v>
      </c>
      <c r="U912" s="20"/>
    </row>
    <row r="913" spans="15:21" x14ac:dyDescent="0.35">
      <c r="O913" s="18">
        <v>5</v>
      </c>
      <c r="P913" s="18">
        <f t="shared" si="81"/>
        <v>4555</v>
      </c>
      <c r="Q913" s="3">
        <f t="shared" si="84"/>
        <v>9.4328395038315911E-6</v>
      </c>
      <c r="R913" s="3">
        <f t="shared" si="80"/>
        <v>4.7164197519157955E-5</v>
      </c>
      <c r="S913" s="3">
        <f t="shared" si="82"/>
        <v>0.22414074363801556</v>
      </c>
      <c r="T913" s="20">
        <f t="shared" si="83"/>
        <v>0.1886567900766318</v>
      </c>
      <c r="U913" s="20"/>
    </row>
    <row r="914" spans="15:21" x14ac:dyDescent="0.35">
      <c r="O914" s="18">
        <v>5</v>
      </c>
      <c r="P914" s="18">
        <f t="shared" si="81"/>
        <v>4560</v>
      </c>
      <c r="Q914" s="3">
        <f t="shared" si="84"/>
        <v>9.4140155079151238E-6</v>
      </c>
      <c r="R914" s="3">
        <f t="shared" si="80"/>
        <v>4.7070077539575619E-5</v>
      </c>
      <c r="S914" s="3">
        <f t="shared" si="82"/>
        <v>0.22418790783553472</v>
      </c>
      <c r="T914" s="20">
        <f t="shared" si="83"/>
        <v>0.18828031015830246</v>
      </c>
      <c r="U914" s="20"/>
    </row>
    <row r="915" spans="15:21" x14ac:dyDescent="0.35">
      <c r="O915" s="18">
        <v>5</v>
      </c>
      <c r="P915" s="18">
        <f t="shared" si="81"/>
        <v>4565</v>
      </c>
      <c r="Q915" s="3">
        <f t="shared" si="84"/>
        <v>9.3952355323151267E-6</v>
      </c>
      <c r="R915" s="3">
        <f t="shared" si="80"/>
        <v>4.6976177661575635E-5</v>
      </c>
      <c r="S915" s="3">
        <f t="shared" si="82"/>
        <v>0.22423497791307428</v>
      </c>
      <c r="T915" s="20">
        <f t="shared" si="83"/>
        <v>0.18790471064630251</v>
      </c>
      <c r="U915" s="20"/>
    </row>
    <row r="916" spans="15:21" x14ac:dyDescent="0.35">
      <c r="O916" s="18">
        <v>5</v>
      </c>
      <c r="P916" s="18">
        <f t="shared" si="81"/>
        <v>4570</v>
      </c>
      <c r="Q916" s="3">
        <f t="shared" si="84"/>
        <v>9.3764994472644972E-6</v>
      </c>
      <c r="R916" s="3">
        <f t="shared" si="80"/>
        <v>4.6882497236322486E-5</v>
      </c>
      <c r="S916" s="3">
        <f t="shared" si="82"/>
        <v>0.22428195409073587</v>
      </c>
      <c r="T916" s="20">
        <f t="shared" si="83"/>
        <v>0.18752998894528994</v>
      </c>
      <c r="U916" s="20"/>
    </row>
    <row r="917" spans="15:21" x14ac:dyDescent="0.35">
      <c r="O917" s="18">
        <v>5</v>
      </c>
      <c r="P917" s="18">
        <f t="shared" si="81"/>
        <v>4575</v>
      </c>
      <c r="Q917" s="3">
        <f t="shared" si="84"/>
        <v>9.3578071234941083E-6</v>
      </c>
      <c r="R917" s="3">
        <f t="shared" si="80"/>
        <v>4.6789035617470543E-5</v>
      </c>
      <c r="S917" s="3">
        <f t="shared" si="82"/>
        <v>0.2243288365879722</v>
      </c>
      <c r="T917" s="20">
        <f t="shared" si="83"/>
        <v>0.18715614246988216</v>
      </c>
      <c r="U917" s="20"/>
    </row>
    <row r="918" spans="15:21" x14ac:dyDescent="0.35">
      <c r="O918" s="18">
        <v>5</v>
      </c>
      <c r="P918" s="18">
        <f t="shared" si="81"/>
        <v>4580</v>
      </c>
      <c r="Q918" s="3">
        <f t="shared" si="84"/>
        <v>9.3391584322303695E-6</v>
      </c>
      <c r="R918" s="3">
        <f t="shared" si="80"/>
        <v>4.6695792161151846E-5</v>
      </c>
      <c r="S918" s="3">
        <f t="shared" si="82"/>
        <v>0.22437562562358968</v>
      </c>
      <c r="T918" s="20">
        <f t="shared" si="83"/>
        <v>0.18678316864460739</v>
      </c>
      <c r="U918" s="20"/>
    </row>
    <row r="919" spans="15:21" x14ac:dyDescent="0.35">
      <c r="O919" s="18">
        <v>5</v>
      </c>
      <c r="P919" s="18">
        <f t="shared" si="81"/>
        <v>4585</v>
      </c>
      <c r="Q919" s="3">
        <f t="shared" si="84"/>
        <v>9.3205532451927888E-6</v>
      </c>
      <c r="R919" s="3">
        <f t="shared" si="80"/>
        <v>4.6602766225963942E-5</v>
      </c>
      <c r="S919" s="3">
        <f t="shared" si="82"/>
        <v>0.22442232141575083</v>
      </c>
      <c r="T919" s="20">
        <f t="shared" si="83"/>
        <v>0.18641106490385576</v>
      </c>
      <c r="U919" s="20"/>
    </row>
    <row r="920" spans="15:21" x14ac:dyDescent="0.35">
      <c r="O920" s="18">
        <v>5</v>
      </c>
      <c r="P920" s="18">
        <f t="shared" si="81"/>
        <v>4590</v>
      </c>
      <c r="Q920" s="3">
        <f t="shared" si="84"/>
        <v>9.3019914345916009E-6</v>
      </c>
      <c r="R920" s="3">
        <f t="shared" si="80"/>
        <v>4.6509957172958005E-5</v>
      </c>
      <c r="S920" s="3">
        <f t="shared" si="82"/>
        <v>0.22446892418197678</v>
      </c>
      <c r="T920" s="20">
        <f t="shared" si="83"/>
        <v>0.186039828691832</v>
      </c>
      <c r="U920" s="20"/>
    </row>
    <row r="921" spans="15:21" x14ac:dyDescent="0.35">
      <c r="O921" s="18">
        <v>5</v>
      </c>
      <c r="P921" s="18">
        <f t="shared" si="81"/>
        <v>4595</v>
      </c>
      <c r="Q921" s="3">
        <f t="shared" si="84"/>
        <v>9.2834728731253502E-6</v>
      </c>
      <c r="R921" s="3">
        <f t="shared" si="80"/>
        <v>4.6417364365626754E-5</v>
      </c>
      <c r="S921" s="3">
        <f t="shared" si="82"/>
        <v>0.22451543413914973</v>
      </c>
      <c r="T921" s="20">
        <f t="shared" si="83"/>
        <v>0.18566945746250699</v>
      </c>
      <c r="U921" s="20"/>
    </row>
    <row r="922" spans="15:21" x14ac:dyDescent="0.35">
      <c r="O922" s="18">
        <v>5</v>
      </c>
      <c r="P922" s="18">
        <f t="shared" si="81"/>
        <v>4600</v>
      </c>
      <c r="Q922" s="3">
        <f t="shared" si="84"/>
        <v>9.2649974339785269E-6</v>
      </c>
      <c r="R922" s="3">
        <f t="shared" si="80"/>
        <v>4.6324987169892636E-5</v>
      </c>
      <c r="S922" s="3">
        <f t="shared" si="82"/>
        <v>0.22456185150351535</v>
      </c>
      <c r="T922" s="20">
        <f t="shared" si="83"/>
        <v>0.18529994867957053</v>
      </c>
      <c r="U922" s="20"/>
    </row>
    <row r="923" spans="15:21" x14ac:dyDescent="0.35">
      <c r="O923" s="18">
        <v>5</v>
      </c>
      <c r="P923" s="18">
        <f t="shared" si="81"/>
        <v>4605</v>
      </c>
      <c r="Q923" s="3">
        <f t="shared" si="84"/>
        <v>9.246564990819218E-6</v>
      </c>
      <c r="R923" s="3">
        <f t="shared" si="80"/>
        <v>4.623282495409609E-5</v>
      </c>
      <c r="S923" s="3">
        <f t="shared" si="82"/>
        <v>0.22460817649068524</v>
      </c>
      <c r="T923" s="20">
        <f t="shared" si="83"/>
        <v>0.18493129981638434</v>
      </c>
      <c r="U923" s="20"/>
    </row>
    <row r="924" spans="15:21" x14ac:dyDescent="0.35">
      <c r="O924" s="18">
        <v>5</v>
      </c>
      <c r="P924" s="18">
        <f t="shared" si="81"/>
        <v>4610</v>
      </c>
      <c r="Q924" s="3">
        <f t="shared" si="84"/>
        <v>9.2281754177967388E-6</v>
      </c>
      <c r="R924" s="3">
        <f t="shared" si="80"/>
        <v>4.6140877088983692E-5</v>
      </c>
      <c r="S924" s="3">
        <f t="shared" si="82"/>
        <v>0.22465440931563932</v>
      </c>
      <c r="T924" s="20">
        <f t="shared" si="83"/>
        <v>0.18456350835593477</v>
      </c>
      <c r="U924" s="20"/>
    </row>
    <row r="925" spans="15:21" x14ac:dyDescent="0.35">
      <c r="O925" s="18">
        <v>5</v>
      </c>
      <c r="P925" s="18">
        <f t="shared" si="81"/>
        <v>4615</v>
      </c>
      <c r="Q925" s="3">
        <f t="shared" si="84"/>
        <v>9.2098285895393115E-6</v>
      </c>
      <c r="R925" s="3">
        <f t="shared" si="80"/>
        <v>4.6049142947696559E-5</v>
      </c>
      <c r="S925" s="3">
        <f t="shared" si="82"/>
        <v>0.2247005501927283</v>
      </c>
      <c r="T925" s="20">
        <f t="shared" si="83"/>
        <v>0.18419657179078622</v>
      </c>
      <c r="U925" s="20"/>
    </row>
    <row r="926" spans="15:21" x14ac:dyDescent="0.35">
      <c r="O926" s="18">
        <v>5</v>
      </c>
      <c r="P926" s="18">
        <f t="shared" si="81"/>
        <v>4620</v>
      </c>
      <c r="Q926" s="3">
        <f t="shared" si="84"/>
        <v>9.1915243811517504E-6</v>
      </c>
      <c r="R926" s="3">
        <f t="shared" si="80"/>
        <v>4.595762190575875E-5</v>
      </c>
      <c r="S926" s="3">
        <f t="shared" si="82"/>
        <v>0.22474659933567601</v>
      </c>
      <c r="T926" s="20">
        <f t="shared" si="83"/>
        <v>0.183830487623035</v>
      </c>
      <c r="U926" s="20"/>
    </row>
    <row r="927" spans="15:21" x14ac:dyDescent="0.35">
      <c r="O927" s="18">
        <v>5</v>
      </c>
      <c r="P927" s="18">
        <f t="shared" si="81"/>
        <v>4625</v>
      </c>
      <c r="Q927" s="3">
        <f t="shared" si="84"/>
        <v>9.173262668213152E-6</v>
      </c>
      <c r="R927" s="3">
        <f t="shared" si="80"/>
        <v>4.5866313341065759E-5</v>
      </c>
      <c r="S927" s="3">
        <f t="shared" si="82"/>
        <v>0.22479255695758177</v>
      </c>
      <c r="T927" s="20">
        <f t="shared" si="83"/>
        <v>0.18346525336426303</v>
      </c>
      <c r="U927" s="20"/>
    </row>
    <row r="928" spans="15:21" x14ac:dyDescent="0.35">
      <c r="O928" s="18">
        <v>5</v>
      </c>
      <c r="P928" s="18">
        <f t="shared" si="81"/>
        <v>4630</v>
      </c>
      <c r="Q928" s="3">
        <f t="shared" si="84"/>
        <v>9.1550433267746034E-6</v>
      </c>
      <c r="R928" s="3">
        <f t="shared" si="80"/>
        <v>4.5775216633873019E-5</v>
      </c>
      <c r="S928" s="3">
        <f t="shared" si="82"/>
        <v>0.22483842327092282</v>
      </c>
      <c r="T928" s="20">
        <f t="shared" si="83"/>
        <v>0.18310086653549207</v>
      </c>
      <c r="U928" s="20"/>
    </row>
    <row r="929" spans="15:21" x14ac:dyDescent="0.35">
      <c r="O929" s="18">
        <v>5</v>
      </c>
      <c r="P929" s="18">
        <f t="shared" si="81"/>
        <v>4635</v>
      </c>
      <c r="Q929" s="3">
        <f t="shared" si="84"/>
        <v>9.136866233356885E-6</v>
      </c>
      <c r="R929" s="3">
        <f t="shared" si="80"/>
        <v>4.5684331166784423E-5</v>
      </c>
      <c r="S929" s="3">
        <f t="shared" si="82"/>
        <v>0.2248841984875567</v>
      </c>
      <c r="T929" s="20">
        <f t="shared" si="83"/>
        <v>0.18273732466713771</v>
      </c>
      <c r="U929" s="20"/>
    </row>
    <row r="930" spans="15:21" x14ac:dyDescent="0.35">
      <c r="O930" s="18">
        <v>5</v>
      </c>
      <c r="P930" s="18">
        <f t="shared" si="81"/>
        <v>4640</v>
      </c>
      <c r="Q930" s="3">
        <f t="shared" si="84"/>
        <v>9.1187312649482444E-6</v>
      </c>
      <c r="R930" s="3">
        <f t="shared" si="80"/>
        <v>4.559365632474122E-5</v>
      </c>
      <c r="S930" s="3">
        <f t="shared" si="82"/>
        <v>0.22492988281872348</v>
      </c>
      <c r="T930" s="20">
        <f t="shared" si="83"/>
        <v>0.18237462529896489</v>
      </c>
      <c r="U930" s="20"/>
    </row>
    <row r="931" spans="15:21" x14ac:dyDescent="0.35">
      <c r="O931" s="18">
        <v>5</v>
      </c>
      <c r="P931" s="18">
        <f t="shared" si="81"/>
        <v>4645</v>
      </c>
      <c r="Q931" s="3">
        <f t="shared" si="84"/>
        <v>9.1006382990021013E-6</v>
      </c>
      <c r="R931" s="3">
        <f t="shared" si="80"/>
        <v>4.550319149501051E-5</v>
      </c>
      <c r="S931" s="3">
        <f t="shared" si="82"/>
        <v>0.22497547647504823</v>
      </c>
      <c r="T931" s="20">
        <f t="shared" si="83"/>
        <v>0.18201276598004201</v>
      </c>
      <c r="U931" s="20"/>
    </row>
    <row r="932" spans="15:21" x14ac:dyDescent="0.35">
      <c r="O932" s="18">
        <v>5</v>
      </c>
      <c r="P932" s="18">
        <f t="shared" si="81"/>
        <v>4650</v>
      </c>
      <c r="Q932" s="3">
        <f t="shared" si="84"/>
        <v>9.0825872134348567E-6</v>
      </c>
      <c r="R932" s="3">
        <f t="shared" si="80"/>
        <v>4.5412936067174285E-5</v>
      </c>
      <c r="S932" s="3">
        <f t="shared" si="82"/>
        <v>0.22502097966654325</v>
      </c>
      <c r="T932" s="20">
        <f t="shared" si="83"/>
        <v>0.18165174426869715</v>
      </c>
      <c r="U932" s="20"/>
    </row>
    <row r="933" spans="15:21" x14ac:dyDescent="0.35">
      <c r="O933" s="18">
        <v>5</v>
      </c>
      <c r="P933" s="18">
        <f t="shared" si="81"/>
        <v>4655</v>
      </c>
      <c r="Q933" s="3">
        <f t="shared" si="84"/>
        <v>9.0645778866236348E-6</v>
      </c>
      <c r="R933" s="3">
        <f t="shared" si="80"/>
        <v>4.5322889433118177E-5</v>
      </c>
      <c r="S933" s="3">
        <f t="shared" si="82"/>
        <v>0.22506639260261041</v>
      </c>
      <c r="T933" s="20">
        <f t="shared" si="83"/>
        <v>0.18129155773247269</v>
      </c>
      <c r="U933" s="20"/>
    </row>
    <row r="934" spans="15:21" x14ac:dyDescent="0.35">
      <c r="O934" s="18">
        <v>5</v>
      </c>
      <c r="P934" s="18">
        <f t="shared" si="81"/>
        <v>4660</v>
      </c>
      <c r="Q934" s="3">
        <f t="shared" si="84"/>
        <v>9.0466101974040571E-6</v>
      </c>
      <c r="R934" s="3">
        <f t="shared" si="80"/>
        <v>4.5233050987020289E-5</v>
      </c>
      <c r="S934" s="3">
        <f t="shared" si="82"/>
        <v>0.22511171549204353</v>
      </c>
      <c r="T934" s="20">
        <f t="shared" si="83"/>
        <v>0.18093220394808113</v>
      </c>
      <c r="U934" s="20"/>
    </row>
    <row r="935" spans="15:21" x14ac:dyDescent="0.35">
      <c r="O935" s="18">
        <v>5</v>
      </c>
      <c r="P935" s="18">
        <f t="shared" si="81"/>
        <v>4665</v>
      </c>
      <c r="Q935" s="3">
        <f t="shared" si="84"/>
        <v>9.0286840250680892E-6</v>
      </c>
      <c r="R935" s="3">
        <f t="shared" si="80"/>
        <v>4.5143420125340446E-5</v>
      </c>
      <c r="S935" s="3">
        <f t="shared" si="82"/>
        <v>0.22515694854303056</v>
      </c>
      <c r="T935" s="20">
        <f t="shared" si="83"/>
        <v>0.18057368050136177</v>
      </c>
      <c r="U935" s="20"/>
    </row>
    <row r="936" spans="15:21" x14ac:dyDescent="0.35">
      <c r="O936" s="18">
        <v>5</v>
      </c>
      <c r="P936" s="18">
        <f t="shared" si="81"/>
        <v>4670</v>
      </c>
      <c r="Q936" s="3">
        <f t="shared" si="84"/>
        <v>9.0107992493618181E-6</v>
      </c>
      <c r="R936" s="3">
        <f t="shared" si="80"/>
        <v>4.5053996246809092E-5</v>
      </c>
      <c r="S936" s="3">
        <f t="shared" si="82"/>
        <v>0.22520209196315591</v>
      </c>
      <c r="T936" s="20">
        <f t="shared" si="83"/>
        <v>0.18021598498723634</v>
      </c>
      <c r="U936" s="20"/>
    </row>
    <row r="937" spans="15:21" x14ac:dyDescent="0.35">
      <c r="O937" s="18">
        <v>5</v>
      </c>
      <c r="P937" s="18">
        <f t="shared" si="81"/>
        <v>4675</v>
      </c>
      <c r="Q937" s="3">
        <f t="shared" si="84"/>
        <v>8.9929557504833025E-6</v>
      </c>
      <c r="R937" s="3">
        <f t="shared" si="80"/>
        <v>4.4964778752416514E-5</v>
      </c>
      <c r="S937" s="3">
        <f t="shared" si="82"/>
        <v>0.22524714595940271</v>
      </c>
      <c r="T937" s="20">
        <f t="shared" si="83"/>
        <v>0.17985911500966603</v>
      </c>
      <c r="U937" s="20"/>
    </row>
    <row r="938" spans="15:21" x14ac:dyDescent="0.35">
      <c r="O938" s="18">
        <v>5</v>
      </c>
      <c r="P938" s="18">
        <f t="shared" si="81"/>
        <v>4680</v>
      </c>
      <c r="Q938" s="3">
        <f t="shared" si="84"/>
        <v>8.9751534090803842E-6</v>
      </c>
      <c r="R938" s="3">
        <f t="shared" si="80"/>
        <v>4.4875767045401919E-5</v>
      </c>
      <c r="S938" s="3">
        <f t="shared" si="82"/>
        <v>0.22529211073815511</v>
      </c>
      <c r="T938" s="20">
        <f t="shared" si="83"/>
        <v>0.17950306818160769</v>
      </c>
      <c r="U938" s="20"/>
    </row>
    <row r="939" spans="15:21" x14ac:dyDescent="0.35">
      <c r="O939" s="18">
        <v>5</v>
      </c>
      <c r="P939" s="18">
        <f t="shared" si="81"/>
        <v>4685</v>
      </c>
      <c r="Q939" s="3">
        <f t="shared" si="84"/>
        <v>8.9573921062485533E-6</v>
      </c>
      <c r="R939" s="3">
        <f t="shared" si="80"/>
        <v>4.4786960531242768E-5</v>
      </c>
      <c r="S939" s="3">
        <f t="shared" si="82"/>
        <v>0.22533698650520051</v>
      </c>
      <c r="T939" s="20">
        <f t="shared" si="83"/>
        <v>0.17914784212497106</v>
      </c>
      <c r="U939" s="20"/>
    </row>
    <row r="940" spans="15:21" x14ac:dyDescent="0.35">
      <c r="O940" s="18">
        <v>5</v>
      </c>
      <c r="P940" s="18">
        <f t="shared" si="81"/>
        <v>4690</v>
      </c>
      <c r="Q940" s="3">
        <f t="shared" si="84"/>
        <v>8.9396717235288308E-6</v>
      </c>
      <c r="R940" s="3">
        <f t="shared" si="80"/>
        <v>4.4698358617644151E-5</v>
      </c>
      <c r="S940" s="3">
        <f t="shared" si="82"/>
        <v>0.22538177346573174</v>
      </c>
      <c r="T940" s="20">
        <f t="shared" si="83"/>
        <v>0.17879343447057661</v>
      </c>
      <c r="U940" s="20"/>
    </row>
    <row r="941" spans="15:21" x14ac:dyDescent="0.35">
      <c r="O941" s="18">
        <v>5</v>
      </c>
      <c r="P941" s="18">
        <f t="shared" si="81"/>
        <v>4695</v>
      </c>
      <c r="Q941" s="3">
        <f t="shared" si="84"/>
        <v>8.9219921429056154E-6</v>
      </c>
      <c r="R941" s="3">
        <f t="shared" si="80"/>
        <v>4.4609960714528079E-5</v>
      </c>
      <c r="S941" s="3">
        <f t="shared" si="82"/>
        <v>0.22542647182434938</v>
      </c>
      <c r="T941" s="20">
        <f t="shared" si="83"/>
        <v>0.17843984285811229</v>
      </c>
      <c r="U941" s="20"/>
    </row>
    <row r="942" spans="15:21" x14ac:dyDescent="0.35">
      <c r="O942" s="18">
        <v>5</v>
      </c>
      <c r="P942" s="18">
        <f t="shared" si="81"/>
        <v>4700</v>
      </c>
      <c r="Q942" s="3">
        <f t="shared" si="84"/>
        <v>8.9043532468045863E-6</v>
      </c>
      <c r="R942" s="3">
        <f t="shared" si="80"/>
        <v>4.452176623402293E-5</v>
      </c>
      <c r="S942" s="3">
        <f t="shared" si="82"/>
        <v>0.22547108178506392</v>
      </c>
      <c r="T942" s="20">
        <f t="shared" si="83"/>
        <v>0.17808706493609172</v>
      </c>
      <c r="U942" s="20"/>
    </row>
    <row r="943" spans="15:21" x14ac:dyDescent="0.35">
      <c r="O943" s="18">
        <v>5</v>
      </c>
      <c r="P943" s="18">
        <f t="shared" si="81"/>
        <v>4705</v>
      </c>
      <c r="Q943" s="3">
        <f t="shared" si="84"/>
        <v>8.8867549180906295E-6</v>
      </c>
      <c r="R943" s="3">
        <f t="shared" si="80"/>
        <v>4.4433774590453146E-5</v>
      </c>
      <c r="S943" s="3">
        <f t="shared" si="82"/>
        <v>0.22551560355129793</v>
      </c>
      <c r="T943" s="20">
        <f t="shared" si="83"/>
        <v>0.17773509836181259</v>
      </c>
      <c r="U943" s="20"/>
    </row>
    <row r="944" spans="15:21" x14ac:dyDescent="0.35">
      <c r="O944" s="18">
        <v>5</v>
      </c>
      <c r="P944" s="18">
        <f t="shared" si="81"/>
        <v>4710</v>
      </c>
      <c r="Q944" s="3">
        <f t="shared" si="84"/>
        <v>8.8691970400656849E-6</v>
      </c>
      <c r="R944" s="3">
        <f t="shared" si="80"/>
        <v>4.4345985200328426E-5</v>
      </c>
      <c r="S944" s="3">
        <f t="shared" si="82"/>
        <v>0.22556003732588839</v>
      </c>
      <c r="T944" s="20">
        <f t="shared" si="83"/>
        <v>0.17738394080131373</v>
      </c>
      <c r="U944" s="20"/>
    </row>
    <row r="945" spans="15:21" x14ac:dyDescent="0.35">
      <c r="O945" s="18">
        <v>5</v>
      </c>
      <c r="P945" s="18">
        <f t="shared" si="81"/>
        <v>4715</v>
      </c>
      <c r="Q945" s="3">
        <f t="shared" si="84"/>
        <v>8.8516794964667419E-6</v>
      </c>
      <c r="R945" s="3">
        <f t="shared" si="80"/>
        <v>4.4258397482333711E-5</v>
      </c>
      <c r="S945" s="3">
        <f t="shared" si="82"/>
        <v>0.22560438331108873</v>
      </c>
      <c r="T945" s="20">
        <f t="shared" si="83"/>
        <v>0.17703358992933482</v>
      </c>
      <c r="U945" s="20"/>
    </row>
    <row r="946" spans="15:21" x14ac:dyDescent="0.35">
      <c r="O946" s="18">
        <v>5</v>
      </c>
      <c r="P946" s="18">
        <f t="shared" si="81"/>
        <v>4720</v>
      </c>
      <c r="Q946" s="3">
        <f t="shared" si="84"/>
        <v>8.8342021714637459E-6</v>
      </c>
      <c r="R946" s="3">
        <f t="shared" si="80"/>
        <v>4.4171010857318728E-5</v>
      </c>
      <c r="S946" s="3">
        <f t="shared" si="82"/>
        <v>0.22564864170857107</v>
      </c>
      <c r="T946" s="20">
        <f t="shared" si="83"/>
        <v>0.17668404342927491</v>
      </c>
      <c r="U946" s="20"/>
    </row>
    <row r="947" spans="15:21" x14ac:dyDescent="0.35">
      <c r="O947" s="18">
        <v>5</v>
      </c>
      <c r="P947" s="18">
        <f t="shared" si="81"/>
        <v>4725</v>
      </c>
      <c r="Q947" s="3">
        <f t="shared" si="84"/>
        <v>8.8167649496575447E-6</v>
      </c>
      <c r="R947" s="3">
        <f t="shared" si="80"/>
        <v>4.4083824748287722E-5</v>
      </c>
      <c r="S947" s="3">
        <f t="shared" si="82"/>
        <v>0.2256928127194284</v>
      </c>
      <c r="T947" s="20">
        <f t="shared" si="83"/>
        <v>0.1763352989931509</v>
      </c>
      <c r="U947" s="20"/>
    </row>
    <row r="948" spans="15:21" x14ac:dyDescent="0.35">
      <c r="O948" s="18">
        <v>5</v>
      </c>
      <c r="P948" s="18">
        <f t="shared" si="81"/>
        <v>4730</v>
      </c>
      <c r="Q948" s="3">
        <f t="shared" si="84"/>
        <v>8.7993677160778561E-6</v>
      </c>
      <c r="R948" s="3">
        <f t="shared" si="80"/>
        <v>4.3996838580389282E-5</v>
      </c>
      <c r="S948" s="3">
        <f t="shared" si="82"/>
        <v>0.2257368965441767</v>
      </c>
      <c r="T948" s="20">
        <f t="shared" si="83"/>
        <v>0.1759873543215571</v>
      </c>
      <c r="U948" s="20"/>
    </row>
    <row r="949" spans="15:21" x14ac:dyDescent="0.35">
      <c r="O949" s="18">
        <v>5</v>
      </c>
      <c r="P949" s="18">
        <f t="shared" si="81"/>
        <v>4735</v>
      </c>
      <c r="Q949" s="3">
        <f t="shared" si="84"/>
        <v>8.7820103561812496E-6</v>
      </c>
      <c r="R949" s="3">
        <f t="shared" si="80"/>
        <v>4.3910051780906248E-5</v>
      </c>
      <c r="S949" s="3">
        <f t="shared" si="82"/>
        <v>0.22578089338275709</v>
      </c>
      <c r="T949" s="20">
        <f t="shared" si="83"/>
        <v>0.17564020712362499</v>
      </c>
      <c r="U949" s="20"/>
    </row>
    <row r="950" spans="15:21" x14ac:dyDescent="0.35">
      <c r="O950" s="18">
        <v>5</v>
      </c>
      <c r="P950" s="18">
        <f t="shared" si="81"/>
        <v>4740</v>
      </c>
      <c r="Q950" s="3">
        <f t="shared" si="84"/>
        <v>8.7646927558491126E-6</v>
      </c>
      <c r="R950" s="3">
        <f t="shared" si="80"/>
        <v>4.3823463779245561E-5</v>
      </c>
      <c r="S950" s="3">
        <f t="shared" si="82"/>
        <v>0.22582480343453798</v>
      </c>
      <c r="T950" s="20">
        <f t="shared" si="83"/>
        <v>0.17529385511698226</v>
      </c>
      <c r="U950" s="20"/>
    </row>
    <row r="951" spans="15:21" x14ac:dyDescent="0.35">
      <c r="O951" s="18">
        <v>5</v>
      </c>
      <c r="P951" s="18">
        <f t="shared" si="81"/>
        <v>4745</v>
      </c>
      <c r="Q951" s="3">
        <f t="shared" si="84"/>
        <v>8.7474148013856525E-6</v>
      </c>
      <c r="R951" s="3">
        <f t="shared" si="80"/>
        <v>4.3737074006928263E-5</v>
      </c>
      <c r="S951" s="3">
        <f t="shared" si="82"/>
        <v>0.22586862689831722</v>
      </c>
      <c r="T951" s="20">
        <f t="shared" si="83"/>
        <v>0.17494829602771303</v>
      </c>
      <c r="U951" s="20"/>
    </row>
    <row r="952" spans="15:21" x14ac:dyDescent="0.35">
      <c r="O952" s="18">
        <v>5</v>
      </c>
      <c r="P952" s="18">
        <f t="shared" si="81"/>
        <v>4750</v>
      </c>
      <c r="Q952" s="3">
        <f t="shared" si="84"/>
        <v>8.73017637951592E-6</v>
      </c>
      <c r="R952" s="3">
        <f t="shared" si="80"/>
        <v>4.3650881897579598E-5</v>
      </c>
      <c r="S952" s="3">
        <f t="shared" si="82"/>
        <v>0.22591236397232414</v>
      </c>
      <c r="T952" s="20">
        <f t="shared" si="83"/>
        <v>0.17460352759031839</v>
      </c>
      <c r="U952" s="20"/>
    </row>
    <row r="953" spans="15:21" x14ac:dyDescent="0.35">
      <c r="O953" s="18">
        <v>5</v>
      </c>
      <c r="P953" s="18">
        <f t="shared" si="81"/>
        <v>4755</v>
      </c>
      <c r="Q953" s="3">
        <f t="shared" si="84"/>
        <v>8.7129773773838116E-6</v>
      </c>
      <c r="R953" s="3">
        <f t="shared" si="80"/>
        <v>4.356488688691906E-5</v>
      </c>
      <c r="S953" s="3">
        <f t="shared" si="82"/>
        <v>0.22595601485422173</v>
      </c>
      <c r="T953" s="20">
        <f t="shared" si="83"/>
        <v>0.17425954754767625</v>
      </c>
      <c r="U953" s="20"/>
    </row>
    <row r="954" spans="15:21" x14ac:dyDescent="0.35">
      <c r="O954" s="18">
        <v>5</v>
      </c>
      <c r="P954" s="18">
        <f t="shared" si="81"/>
        <v>4760</v>
      </c>
      <c r="Q954" s="3">
        <f t="shared" si="84"/>
        <v>8.6958176825501134E-6</v>
      </c>
      <c r="R954" s="3">
        <f t="shared" si="80"/>
        <v>4.3479088412750565E-5</v>
      </c>
      <c r="S954" s="3">
        <f t="shared" si="82"/>
        <v>0.22599957974110865</v>
      </c>
      <c r="T954" s="20">
        <f t="shared" si="83"/>
        <v>0.17391635365100225</v>
      </c>
      <c r="U954" s="20"/>
    </row>
    <row r="955" spans="15:21" x14ac:dyDescent="0.35">
      <c r="O955" s="18">
        <v>5</v>
      </c>
      <c r="P955" s="18">
        <f t="shared" si="81"/>
        <v>4765</v>
      </c>
      <c r="Q955" s="3">
        <f t="shared" si="84"/>
        <v>8.6786971829905302E-6</v>
      </c>
      <c r="R955" s="3">
        <f t="shared" si="80"/>
        <v>4.3393485914952653E-5</v>
      </c>
      <c r="S955" s="3">
        <f t="shared" si="82"/>
        <v>0.22604305882952141</v>
      </c>
      <c r="T955" s="20">
        <f t="shared" si="83"/>
        <v>0.1735739436598106</v>
      </c>
      <c r="U955" s="20"/>
    </row>
    <row r="956" spans="15:21" x14ac:dyDescent="0.35">
      <c r="O956" s="18">
        <v>5</v>
      </c>
      <c r="P956" s="18">
        <f t="shared" si="81"/>
        <v>4770</v>
      </c>
      <c r="Q956" s="3">
        <f t="shared" si="84"/>
        <v>8.661615767093755E-6</v>
      </c>
      <c r="R956" s="3">
        <f t="shared" si="80"/>
        <v>4.3308078835468779E-5</v>
      </c>
      <c r="S956" s="3">
        <f t="shared" si="82"/>
        <v>0.22608645231543636</v>
      </c>
      <c r="T956" s="20">
        <f t="shared" si="83"/>
        <v>0.17323231534187508</v>
      </c>
      <c r="U956" s="20"/>
    </row>
    <row r="957" spans="15:21" x14ac:dyDescent="0.35">
      <c r="O957" s="18">
        <v>5</v>
      </c>
      <c r="P957" s="18">
        <f t="shared" si="81"/>
        <v>4775</v>
      </c>
      <c r="Q957" s="3">
        <f t="shared" si="84"/>
        <v>8.6445733236595152E-6</v>
      </c>
      <c r="R957" s="3">
        <f t="shared" si="80"/>
        <v>4.3222866618297578E-5</v>
      </c>
      <c r="S957" s="3">
        <f t="shared" si="82"/>
        <v>0.22612976039427182</v>
      </c>
      <c r="T957" s="20">
        <f t="shared" si="83"/>
        <v>0.17289146647319029</v>
      </c>
      <c r="U957" s="20"/>
    </row>
    <row r="958" spans="15:21" x14ac:dyDescent="0.35">
      <c r="O958" s="18">
        <v>5</v>
      </c>
      <c r="P958" s="18">
        <f t="shared" si="81"/>
        <v>4780</v>
      </c>
      <c r="Q958" s="3">
        <f t="shared" si="84"/>
        <v>8.6275697418966551E-6</v>
      </c>
      <c r="R958" s="3">
        <f t="shared" si="80"/>
        <v>4.3137848709483277E-5</v>
      </c>
      <c r="S958" s="3">
        <f t="shared" si="82"/>
        <v>0.22617298326089011</v>
      </c>
      <c r="T958" s="20">
        <f t="shared" si="83"/>
        <v>0.17255139483793308</v>
      </c>
      <c r="U958" s="20"/>
    </row>
    <row r="959" spans="15:21" x14ac:dyDescent="0.35">
      <c r="O959" s="18">
        <v>5</v>
      </c>
      <c r="P959" s="18">
        <f t="shared" si="81"/>
        <v>4785</v>
      </c>
      <c r="Q959" s="3">
        <f t="shared" si="84"/>
        <v>8.6106049114212252E-6</v>
      </c>
      <c r="R959" s="3">
        <f t="shared" si="80"/>
        <v>4.3053024557106127E-5</v>
      </c>
      <c r="S959" s="3">
        <f t="shared" si="82"/>
        <v>0.2262161211095996</v>
      </c>
      <c r="T959" s="20">
        <f t="shared" si="83"/>
        <v>0.17221209822842448</v>
      </c>
      <c r="U959" s="20"/>
    </row>
    <row r="960" spans="15:21" x14ac:dyDescent="0.35">
      <c r="O960" s="18">
        <v>5</v>
      </c>
      <c r="P960" s="18">
        <f t="shared" si="81"/>
        <v>4790</v>
      </c>
      <c r="Q960" s="3">
        <f t="shared" si="84"/>
        <v>8.5936787222545945E-6</v>
      </c>
      <c r="R960" s="3">
        <f t="shared" si="80"/>
        <v>4.2968393611272969E-5</v>
      </c>
      <c r="S960" s="3">
        <f t="shared" si="82"/>
        <v>0.22625917413415669</v>
      </c>
      <c r="T960" s="20">
        <f t="shared" si="83"/>
        <v>0.17187357444509188</v>
      </c>
      <c r="U960" s="20"/>
    </row>
    <row r="961" spans="15:21" x14ac:dyDescent="0.35">
      <c r="O961" s="18">
        <v>5</v>
      </c>
      <c r="P961" s="18">
        <f t="shared" si="81"/>
        <v>4795</v>
      </c>
      <c r="Q961" s="3">
        <f t="shared" si="84"/>
        <v>8.5767910648215114E-6</v>
      </c>
      <c r="R961" s="3">
        <f t="shared" si="80"/>
        <v>4.2883955324107557E-5</v>
      </c>
      <c r="S961" s="3">
        <f t="shared" si="82"/>
        <v>0.22630214252776798</v>
      </c>
      <c r="T961" s="20">
        <f t="shared" si="83"/>
        <v>0.17153582129643022</v>
      </c>
      <c r="U961" s="20"/>
    </row>
    <row r="962" spans="15:21" x14ac:dyDescent="0.35">
      <c r="O962" s="18">
        <v>5</v>
      </c>
      <c r="P962" s="18">
        <f t="shared" si="81"/>
        <v>4800</v>
      </c>
      <c r="Q962" s="3">
        <f t="shared" si="84"/>
        <v>8.5599418299482906E-6</v>
      </c>
      <c r="R962" s="3">
        <f t="shared" ref="R962:R1025" si="85">Q962*O962</f>
        <v>4.2799709149741453E-5</v>
      </c>
      <c r="S962" s="3">
        <f t="shared" si="82"/>
        <v>0.2263450264830921</v>
      </c>
      <c r="T962" s="20">
        <f t="shared" si="83"/>
        <v>0.17119883659896581</v>
      </c>
      <c r="U962" s="20"/>
    </row>
    <row r="963" spans="15:21" x14ac:dyDescent="0.35">
      <c r="O963" s="18">
        <v>5</v>
      </c>
      <c r="P963" s="18">
        <f t="shared" ref="P963:P1026" si="86">O963+P962</f>
        <v>4805</v>
      </c>
      <c r="Q963" s="3">
        <f t="shared" si="84"/>
        <v>8.5431309088608924E-6</v>
      </c>
      <c r="R963" s="3">
        <f t="shared" si="85"/>
        <v>4.2715654544304459E-5</v>
      </c>
      <c r="S963" s="3">
        <f t="shared" ref="S963:S1026" si="87">S962+R962</f>
        <v>0.22638782619224185</v>
      </c>
      <c r="T963" s="20">
        <f t="shared" ref="T963:T1026" si="88">Q963*$B$9*$B$2*0.5/$B$11</f>
        <v>0.17086261817721785</v>
      </c>
      <c r="U963" s="20"/>
    </row>
    <row r="964" spans="15:21" x14ac:dyDescent="0.35">
      <c r="O964" s="18">
        <v>5</v>
      </c>
      <c r="P964" s="18">
        <f t="shared" si="86"/>
        <v>4810</v>
      </c>
      <c r="Q964" s="3">
        <f t="shared" ref="Q964:Q1027" si="89">$T$2*(1-(S964/$B$12))/($B$9*((0.5*$B$2/$B$11)+(S964/$B$10)))</f>
        <v>8.5263581931830774E-6</v>
      </c>
      <c r="R964" s="3">
        <f t="shared" si="85"/>
        <v>4.2631790965915383E-5</v>
      </c>
      <c r="S964" s="3">
        <f t="shared" si="87"/>
        <v>0.22643054184678615</v>
      </c>
      <c r="T964" s="20">
        <f t="shared" si="88"/>
        <v>0.17052716386366154</v>
      </c>
      <c r="U964" s="20"/>
    </row>
    <row r="965" spans="15:21" x14ac:dyDescent="0.35">
      <c r="O965" s="18">
        <v>5</v>
      </c>
      <c r="P965" s="18">
        <f t="shared" si="86"/>
        <v>4815</v>
      </c>
      <c r="Q965" s="3">
        <f t="shared" si="89"/>
        <v>8.5096235749345585E-6</v>
      </c>
      <c r="R965" s="3">
        <f t="shared" si="85"/>
        <v>4.2548117874672791E-5</v>
      </c>
      <c r="S965" s="3">
        <f t="shared" si="87"/>
        <v>0.22647317363775207</v>
      </c>
      <c r="T965" s="20">
        <f t="shared" si="88"/>
        <v>0.17019247149869116</v>
      </c>
      <c r="U965" s="20"/>
    </row>
    <row r="966" spans="15:21" x14ac:dyDescent="0.35">
      <c r="O966" s="18">
        <v>5</v>
      </c>
      <c r="P966" s="18">
        <f t="shared" si="86"/>
        <v>4820</v>
      </c>
      <c r="Q966" s="3">
        <f t="shared" si="89"/>
        <v>8.4929269465291632E-6</v>
      </c>
      <c r="R966" s="3">
        <f t="shared" si="85"/>
        <v>4.2464634732645816E-5</v>
      </c>
      <c r="S966" s="3">
        <f t="shared" si="87"/>
        <v>0.22651572175562676</v>
      </c>
      <c r="T966" s="20">
        <f t="shared" si="88"/>
        <v>0.16985853893058325</v>
      </c>
      <c r="U966" s="20"/>
    </row>
    <row r="967" spans="15:21" x14ac:dyDescent="0.35">
      <c r="O967" s="18">
        <v>5</v>
      </c>
      <c r="P967" s="18">
        <f t="shared" si="86"/>
        <v>4825</v>
      </c>
      <c r="Q967" s="3">
        <f t="shared" si="89"/>
        <v>8.4762682007730068E-6</v>
      </c>
      <c r="R967" s="3">
        <f t="shared" si="85"/>
        <v>4.2381341003865038E-5</v>
      </c>
      <c r="S967" s="3">
        <f t="shared" si="87"/>
        <v>0.22655818639035941</v>
      </c>
      <c r="T967" s="20">
        <f t="shared" si="88"/>
        <v>0.16952536401546012</v>
      </c>
      <c r="U967" s="20"/>
    </row>
    <row r="968" spans="15:21" x14ac:dyDescent="0.35">
      <c r="O968" s="18">
        <v>5</v>
      </c>
      <c r="P968" s="18">
        <f t="shared" si="86"/>
        <v>4830</v>
      </c>
      <c r="Q968" s="3">
        <f t="shared" si="89"/>
        <v>8.4596472308626716E-6</v>
      </c>
      <c r="R968" s="3">
        <f t="shared" si="85"/>
        <v>4.2298236154313356E-5</v>
      </c>
      <c r="S968" s="3">
        <f t="shared" si="87"/>
        <v>0.22660056773136328</v>
      </c>
      <c r="T968" s="20">
        <f t="shared" si="88"/>
        <v>0.16919294461725343</v>
      </c>
      <c r="U968" s="20"/>
    </row>
    <row r="969" spans="15:21" x14ac:dyDescent="0.35">
      <c r="O969" s="18">
        <v>5</v>
      </c>
      <c r="P969" s="18">
        <f t="shared" si="86"/>
        <v>4835</v>
      </c>
      <c r="Q969" s="3">
        <f t="shared" si="89"/>
        <v>8.443063930383406E-6</v>
      </c>
      <c r="R969" s="3">
        <f t="shared" si="85"/>
        <v>4.2215319651917032E-5</v>
      </c>
      <c r="S969" s="3">
        <f t="shared" si="87"/>
        <v>0.22664286596751759</v>
      </c>
      <c r="T969" s="20">
        <f t="shared" si="88"/>
        <v>0.16886127860766811</v>
      </c>
      <c r="U969" s="20"/>
    </row>
    <row r="970" spans="15:21" x14ac:dyDescent="0.35">
      <c r="O970" s="18">
        <v>5</v>
      </c>
      <c r="P970" s="18">
        <f t="shared" si="86"/>
        <v>4840</v>
      </c>
      <c r="Q970" s="3">
        <f t="shared" si="89"/>
        <v>8.4265181933073103E-6</v>
      </c>
      <c r="R970" s="3">
        <f t="shared" si="85"/>
        <v>4.2132590966536553E-5</v>
      </c>
      <c r="S970" s="3">
        <f t="shared" si="87"/>
        <v>0.22668508128716952</v>
      </c>
      <c r="T970" s="20">
        <f t="shared" si="88"/>
        <v>0.1685303638661462</v>
      </c>
      <c r="U970" s="20"/>
    </row>
    <row r="971" spans="15:21" x14ac:dyDescent="0.35">
      <c r="O971" s="18">
        <v>5</v>
      </c>
      <c r="P971" s="18">
        <f t="shared" si="86"/>
        <v>4845</v>
      </c>
      <c r="Q971" s="3">
        <f t="shared" si="89"/>
        <v>8.4100099139915832E-6</v>
      </c>
      <c r="R971" s="3">
        <f t="shared" si="85"/>
        <v>4.2050049569957912E-5</v>
      </c>
      <c r="S971" s="3">
        <f t="shared" si="87"/>
        <v>0.22672721387813605</v>
      </c>
      <c r="T971" s="20">
        <f t="shared" si="88"/>
        <v>0.16820019827983165</v>
      </c>
      <c r="U971" s="20"/>
    </row>
    <row r="972" spans="15:21" x14ac:dyDescent="0.35">
      <c r="O972" s="18">
        <v>5</v>
      </c>
      <c r="P972" s="18">
        <f t="shared" si="86"/>
        <v>4850</v>
      </c>
      <c r="Q972" s="3">
        <f t="shared" si="89"/>
        <v>8.3935389871767024E-6</v>
      </c>
      <c r="R972" s="3">
        <f t="shared" si="85"/>
        <v>4.196769493588351E-5</v>
      </c>
      <c r="S972" s="3">
        <f t="shared" si="87"/>
        <v>0.22676926392770599</v>
      </c>
      <c r="T972" s="20">
        <f t="shared" si="88"/>
        <v>0.16787077974353404</v>
      </c>
      <c r="U972" s="20"/>
    </row>
    <row r="973" spans="15:21" x14ac:dyDescent="0.35">
      <c r="O973" s="18">
        <v>5</v>
      </c>
      <c r="P973" s="18">
        <f t="shared" si="86"/>
        <v>4855</v>
      </c>
      <c r="Q973" s="3">
        <f t="shared" si="89"/>
        <v>8.377105307984678E-6</v>
      </c>
      <c r="R973" s="3">
        <f t="shared" si="85"/>
        <v>4.1885526539923394E-5</v>
      </c>
      <c r="S973" s="3">
        <f t="shared" si="87"/>
        <v>0.22681123162264188</v>
      </c>
      <c r="T973" s="20">
        <f t="shared" si="88"/>
        <v>0.16754210615969356</v>
      </c>
      <c r="U973" s="20"/>
    </row>
    <row r="974" spans="15:21" x14ac:dyDescent="0.35">
      <c r="O974" s="18">
        <v>5</v>
      </c>
      <c r="P974" s="18">
        <f t="shared" si="86"/>
        <v>4860</v>
      </c>
      <c r="Q974" s="3">
        <f t="shared" si="89"/>
        <v>8.3607087719173231E-6</v>
      </c>
      <c r="R974" s="3">
        <f t="shared" si="85"/>
        <v>4.1803543859586617E-5</v>
      </c>
      <c r="S974" s="3">
        <f t="shared" si="87"/>
        <v>0.2268531171491818</v>
      </c>
      <c r="T974" s="20">
        <f t="shared" si="88"/>
        <v>0.16721417543834646</v>
      </c>
      <c r="U974" s="20"/>
    </row>
    <row r="975" spans="15:21" x14ac:dyDescent="0.35">
      <c r="O975" s="18">
        <v>5</v>
      </c>
      <c r="P975" s="18">
        <f t="shared" si="86"/>
        <v>4865</v>
      </c>
      <c r="Q975" s="3">
        <f t="shared" si="89"/>
        <v>8.3443492748544509E-6</v>
      </c>
      <c r="R975" s="3">
        <f t="shared" si="85"/>
        <v>4.1721746374272258E-5</v>
      </c>
      <c r="S975" s="3">
        <f t="shared" si="87"/>
        <v>0.22689492069304137</v>
      </c>
      <c r="T975" s="20">
        <f t="shared" si="88"/>
        <v>0.16688698549708902</v>
      </c>
      <c r="U975" s="20"/>
    </row>
    <row r="976" spans="15:21" x14ac:dyDescent="0.35">
      <c r="O976" s="18">
        <v>5</v>
      </c>
      <c r="P976" s="18">
        <f t="shared" si="86"/>
        <v>4870</v>
      </c>
      <c r="Q976" s="3">
        <f t="shared" si="89"/>
        <v>8.3280267130521827E-6</v>
      </c>
      <c r="R976" s="3">
        <f t="shared" si="85"/>
        <v>4.1640133565260917E-5</v>
      </c>
      <c r="S976" s="3">
        <f t="shared" si="87"/>
        <v>0.22693664243941564</v>
      </c>
      <c r="T976" s="20">
        <f t="shared" si="88"/>
        <v>0.16656053426104364</v>
      </c>
      <c r="U976" s="20"/>
    </row>
    <row r="977" spans="15:21" x14ac:dyDescent="0.35">
      <c r="O977" s="18">
        <v>5</v>
      </c>
      <c r="P977" s="18">
        <f t="shared" si="86"/>
        <v>4875</v>
      </c>
      <c r="Q977" s="3">
        <f t="shared" si="89"/>
        <v>8.3117409831411992E-6</v>
      </c>
      <c r="R977" s="3">
        <f t="shared" si="85"/>
        <v>4.1558704915705998E-5</v>
      </c>
      <c r="S977" s="3">
        <f t="shared" si="87"/>
        <v>0.22697828257298089</v>
      </c>
      <c r="T977" s="20">
        <f t="shared" si="88"/>
        <v>0.16623481966282397</v>
      </c>
      <c r="U977" s="20"/>
    </row>
    <row r="978" spans="15:21" x14ac:dyDescent="0.35">
      <c r="O978" s="18">
        <v>5</v>
      </c>
      <c r="P978" s="18">
        <f t="shared" si="86"/>
        <v>4880</v>
      </c>
      <c r="Q978" s="3">
        <f t="shared" si="89"/>
        <v>8.2954919821250267E-6</v>
      </c>
      <c r="R978" s="3">
        <f t="shared" si="85"/>
        <v>4.1477459910625137E-5</v>
      </c>
      <c r="S978" s="3">
        <f t="shared" si="87"/>
        <v>0.22701984127789659</v>
      </c>
      <c r="T978" s="20">
        <f t="shared" si="88"/>
        <v>0.16590983964250053</v>
      </c>
      <c r="U978" s="20"/>
    </row>
    <row r="979" spans="15:21" x14ac:dyDescent="0.35">
      <c r="O979" s="18">
        <v>5</v>
      </c>
      <c r="P979" s="18">
        <f t="shared" si="86"/>
        <v>4885</v>
      </c>
      <c r="Q979" s="3">
        <f t="shared" si="89"/>
        <v>8.2792796073783356E-6</v>
      </c>
      <c r="R979" s="3">
        <f t="shared" si="85"/>
        <v>4.1396398036891677E-5</v>
      </c>
      <c r="S979" s="3">
        <f t="shared" si="87"/>
        <v>0.22706131873780722</v>
      </c>
      <c r="T979" s="20">
        <f t="shared" si="88"/>
        <v>0.16558559214756671</v>
      </c>
      <c r="U979" s="20"/>
    </row>
    <row r="980" spans="15:21" x14ac:dyDescent="0.35">
      <c r="O980" s="18">
        <v>5</v>
      </c>
      <c r="P980" s="18">
        <f t="shared" si="86"/>
        <v>4890</v>
      </c>
      <c r="Q980" s="3">
        <f t="shared" si="89"/>
        <v>8.2631037566452386E-6</v>
      </c>
      <c r="R980" s="3">
        <f t="shared" si="85"/>
        <v>4.1315518783226196E-5</v>
      </c>
      <c r="S980" s="3">
        <f t="shared" si="87"/>
        <v>0.2271027151358441</v>
      </c>
      <c r="T980" s="20">
        <f t="shared" si="88"/>
        <v>0.16526207513290475</v>
      </c>
      <c r="U980" s="20"/>
    </row>
    <row r="981" spans="15:21" x14ac:dyDescent="0.35">
      <c r="O981" s="18">
        <v>5</v>
      </c>
      <c r="P981" s="18">
        <f t="shared" si="86"/>
        <v>4895</v>
      </c>
      <c r="Q981" s="3">
        <f t="shared" si="89"/>
        <v>8.2469643280375822E-6</v>
      </c>
      <c r="R981" s="3">
        <f t="shared" si="85"/>
        <v>4.1234821640187913E-5</v>
      </c>
      <c r="S981" s="3">
        <f t="shared" si="87"/>
        <v>0.22714403065462732</v>
      </c>
      <c r="T981" s="20">
        <f t="shared" si="88"/>
        <v>0.16493928656075163</v>
      </c>
      <c r="U981" s="20"/>
    </row>
    <row r="982" spans="15:21" x14ac:dyDescent="0.35">
      <c r="O982" s="18">
        <v>5</v>
      </c>
      <c r="P982" s="18">
        <f t="shared" si="86"/>
        <v>4900</v>
      </c>
      <c r="Q982" s="3">
        <f t="shared" si="89"/>
        <v>8.2308612200333009E-6</v>
      </c>
      <c r="R982" s="3">
        <f t="shared" si="85"/>
        <v>4.1154306100166501E-5</v>
      </c>
      <c r="S982" s="3">
        <f t="shared" si="87"/>
        <v>0.22718526547626752</v>
      </c>
      <c r="T982" s="20">
        <f t="shared" si="88"/>
        <v>0.16461722440066601</v>
      </c>
      <c r="U982" s="20"/>
    </row>
    <row r="983" spans="15:21" x14ac:dyDescent="0.35">
      <c r="O983" s="18">
        <v>5</v>
      </c>
      <c r="P983" s="18">
        <f t="shared" si="86"/>
        <v>4905</v>
      </c>
      <c r="Q983" s="3">
        <f t="shared" si="89"/>
        <v>8.2147943314747378E-6</v>
      </c>
      <c r="R983" s="3">
        <f t="shared" si="85"/>
        <v>4.1073971657373692E-5</v>
      </c>
      <c r="S983" s="3">
        <f t="shared" si="87"/>
        <v>0.22722641978236768</v>
      </c>
      <c r="T983" s="20">
        <f t="shared" si="88"/>
        <v>0.16429588662949474</v>
      </c>
      <c r="U983" s="20"/>
    </row>
    <row r="984" spans="15:21" x14ac:dyDescent="0.35">
      <c r="O984" s="18">
        <v>5</v>
      </c>
      <c r="P984" s="18">
        <f t="shared" si="86"/>
        <v>4910</v>
      </c>
      <c r="Q984" s="3">
        <f t="shared" si="89"/>
        <v>8.1987635615669509E-6</v>
      </c>
      <c r="R984" s="3">
        <f t="shared" si="85"/>
        <v>4.0993817807834756E-5</v>
      </c>
      <c r="S984" s="3">
        <f t="shared" si="87"/>
        <v>0.22726749375402505</v>
      </c>
      <c r="T984" s="20">
        <f t="shared" si="88"/>
        <v>0.16397527123133901</v>
      </c>
      <c r="U984" s="20"/>
    </row>
    <row r="985" spans="15:21" x14ac:dyDescent="0.35">
      <c r="O985" s="18">
        <v>5</v>
      </c>
      <c r="P985" s="18">
        <f t="shared" si="86"/>
        <v>4915</v>
      </c>
      <c r="Q985" s="3">
        <f t="shared" si="89"/>
        <v>8.1827688098761036E-6</v>
      </c>
      <c r="R985" s="3">
        <f t="shared" si="85"/>
        <v>4.0913844049380518E-5</v>
      </c>
      <c r="S985" s="3">
        <f t="shared" si="87"/>
        <v>0.22730848757183289</v>
      </c>
      <c r="T985" s="20">
        <f t="shared" si="88"/>
        <v>0.16365537619752207</v>
      </c>
      <c r="U985" s="20"/>
    </row>
    <row r="986" spans="15:21" x14ac:dyDescent="0.35">
      <c r="O986" s="18">
        <v>5</v>
      </c>
      <c r="P986" s="18">
        <f t="shared" si="86"/>
        <v>4920</v>
      </c>
      <c r="Q986" s="3">
        <f t="shared" si="89"/>
        <v>8.1668099763277959E-6</v>
      </c>
      <c r="R986" s="3">
        <f t="shared" si="85"/>
        <v>4.0834049881638976E-5</v>
      </c>
      <c r="S986" s="3">
        <f t="shared" si="87"/>
        <v>0.22734940141588228</v>
      </c>
      <c r="T986" s="20">
        <f t="shared" si="88"/>
        <v>0.1633361995265559</v>
      </c>
      <c r="U986" s="20"/>
    </row>
    <row r="987" spans="15:21" x14ac:dyDescent="0.35">
      <c r="O987" s="18">
        <v>5</v>
      </c>
      <c r="P987" s="18">
        <f t="shared" si="86"/>
        <v>4925</v>
      </c>
      <c r="Q987" s="3">
        <f t="shared" si="89"/>
        <v>8.1508869612054536E-6</v>
      </c>
      <c r="R987" s="3">
        <f t="shared" si="85"/>
        <v>4.0754434806027266E-5</v>
      </c>
      <c r="S987" s="3">
        <f t="shared" si="87"/>
        <v>0.22739023546576392</v>
      </c>
      <c r="T987" s="20">
        <f t="shared" si="88"/>
        <v>0.16301773922410906</v>
      </c>
      <c r="U987" s="20"/>
    </row>
    <row r="988" spans="15:21" x14ac:dyDescent="0.35">
      <c r="O988" s="18">
        <v>5</v>
      </c>
      <c r="P988" s="18">
        <f t="shared" si="86"/>
        <v>4930</v>
      </c>
      <c r="Q988" s="3">
        <f t="shared" si="89"/>
        <v>8.134999665148678E-6</v>
      </c>
      <c r="R988" s="3">
        <f t="shared" si="85"/>
        <v>4.0674998325743387E-5</v>
      </c>
      <c r="S988" s="3">
        <f t="shared" si="87"/>
        <v>0.22743098990056995</v>
      </c>
      <c r="T988" s="20">
        <f t="shared" si="88"/>
        <v>0.16269999330297355</v>
      </c>
      <c r="U988" s="20"/>
    </row>
    <row r="989" spans="15:21" x14ac:dyDescent="0.35">
      <c r="O989" s="18">
        <v>5</v>
      </c>
      <c r="P989" s="18">
        <f t="shared" si="86"/>
        <v>4935</v>
      </c>
      <c r="Q989" s="3">
        <f t="shared" si="89"/>
        <v>8.1191479891516454E-6</v>
      </c>
      <c r="R989" s="3">
        <f t="shared" si="85"/>
        <v>4.059573994575823E-5</v>
      </c>
      <c r="S989" s="3">
        <f t="shared" si="87"/>
        <v>0.2274716648988957</v>
      </c>
      <c r="T989" s="20">
        <f t="shared" si="88"/>
        <v>0.16238295978303291</v>
      </c>
      <c r="U989" s="20"/>
    </row>
    <row r="990" spans="15:21" x14ac:dyDescent="0.35">
      <c r="O990" s="18">
        <v>5</v>
      </c>
      <c r="P990" s="18">
        <f t="shared" si="86"/>
        <v>4940</v>
      </c>
      <c r="Q990" s="3">
        <f t="shared" si="89"/>
        <v>8.1033318345615058E-6</v>
      </c>
      <c r="R990" s="3">
        <f t="shared" si="85"/>
        <v>4.0516659172807527E-5</v>
      </c>
      <c r="S990" s="3">
        <f t="shared" si="87"/>
        <v>0.22751226063884145</v>
      </c>
      <c r="T990" s="20">
        <f t="shared" si="88"/>
        <v>0.16206663669123011</v>
      </c>
      <c r="U990" s="20"/>
    </row>
    <row r="991" spans="15:21" x14ac:dyDescent="0.35">
      <c r="O991" s="18">
        <v>5</v>
      </c>
      <c r="P991" s="18">
        <f t="shared" si="86"/>
        <v>4945</v>
      </c>
      <c r="Q991" s="3">
        <f t="shared" si="89"/>
        <v>8.0875511030767535E-6</v>
      </c>
      <c r="R991" s="3">
        <f t="shared" si="85"/>
        <v>4.0437755515383768E-5</v>
      </c>
      <c r="S991" s="3">
        <f t="shared" si="87"/>
        <v>0.22755277729801426</v>
      </c>
      <c r="T991" s="20">
        <f t="shared" si="88"/>
        <v>0.16175102206153505</v>
      </c>
      <c r="U991" s="20"/>
    </row>
    <row r="992" spans="15:21" x14ac:dyDescent="0.35">
      <c r="O992" s="18">
        <v>5</v>
      </c>
      <c r="P992" s="18">
        <f t="shared" si="86"/>
        <v>4950</v>
      </c>
      <c r="Q992" s="3">
        <f t="shared" si="89"/>
        <v>8.0718056967456972E-6</v>
      </c>
      <c r="R992" s="3">
        <f t="shared" si="85"/>
        <v>4.0359028483728489E-5</v>
      </c>
      <c r="S992" s="3">
        <f t="shared" si="87"/>
        <v>0.22759321505352964</v>
      </c>
      <c r="T992" s="20">
        <f t="shared" si="88"/>
        <v>0.16143611393491394</v>
      </c>
      <c r="U992" s="20"/>
    </row>
    <row r="993" spans="15:21" x14ac:dyDescent="0.35">
      <c r="O993" s="18">
        <v>5</v>
      </c>
      <c r="P993" s="18">
        <f t="shared" si="86"/>
        <v>4955</v>
      </c>
      <c r="Q993" s="3">
        <f t="shared" si="89"/>
        <v>8.0560955179648167E-6</v>
      </c>
      <c r="R993" s="3">
        <f t="shared" si="85"/>
        <v>4.028047758982408E-5</v>
      </c>
      <c r="S993" s="3">
        <f t="shared" si="87"/>
        <v>0.22763357408201337</v>
      </c>
      <c r="T993" s="20">
        <f t="shared" si="88"/>
        <v>0.16112191035929632</v>
      </c>
      <c r="U993" s="20"/>
    </row>
    <row r="994" spans="15:21" x14ac:dyDescent="0.35">
      <c r="O994" s="18">
        <v>5</v>
      </c>
      <c r="P994" s="18">
        <f t="shared" si="86"/>
        <v>4960</v>
      </c>
      <c r="Q994" s="3">
        <f t="shared" si="89"/>
        <v>8.0404204694772333E-6</v>
      </c>
      <c r="R994" s="3">
        <f t="shared" si="85"/>
        <v>4.0202102347386167E-5</v>
      </c>
      <c r="S994" s="3">
        <f t="shared" si="87"/>
        <v>0.22767385455960321</v>
      </c>
      <c r="T994" s="20">
        <f t="shared" si="88"/>
        <v>0.16080840938954466</v>
      </c>
      <c r="U994" s="20"/>
    </row>
    <row r="995" spans="15:21" x14ac:dyDescent="0.35">
      <c r="O995" s="18">
        <v>5</v>
      </c>
      <c r="P995" s="18">
        <f t="shared" si="86"/>
        <v>4965</v>
      </c>
      <c r="Q995" s="3">
        <f t="shared" si="89"/>
        <v>8.0247804543711294E-6</v>
      </c>
      <c r="R995" s="3">
        <f t="shared" si="85"/>
        <v>4.0123902271855647E-5</v>
      </c>
      <c r="S995" s="3">
        <f t="shared" si="87"/>
        <v>0.2277140566619506</v>
      </c>
      <c r="T995" s="20">
        <f t="shared" si="88"/>
        <v>0.16049560908742258</v>
      </c>
      <c r="U995" s="20"/>
    </row>
    <row r="996" spans="15:21" x14ac:dyDescent="0.35">
      <c r="O996" s="18">
        <v>5</v>
      </c>
      <c r="P996" s="18">
        <f t="shared" si="86"/>
        <v>4970</v>
      </c>
      <c r="Q996" s="3">
        <f t="shared" si="89"/>
        <v>8.0091753760782167E-6</v>
      </c>
      <c r="R996" s="3">
        <f t="shared" si="85"/>
        <v>4.004587688039108E-5</v>
      </c>
      <c r="S996" s="3">
        <f t="shared" si="87"/>
        <v>0.22775418056422245</v>
      </c>
      <c r="T996" s="20">
        <f t="shared" si="88"/>
        <v>0.16018350752156432</v>
      </c>
      <c r="U996" s="20"/>
    </row>
    <row r="997" spans="15:21" x14ac:dyDescent="0.35">
      <c r="O997" s="18">
        <v>5</v>
      </c>
      <c r="P997" s="18">
        <f t="shared" si="86"/>
        <v>4975</v>
      </c>
      <c r="Q997" s="3">
        <f t="shared" si="89"/>
        <v>7.9936051383721437E-6</v>
      </c>
      <c r="R997" s="3">
        <f t="shared" si="85"/>
        <v>3.9968025691860715E-5</v>
      </c>
      <c r="S997" s="3">
        <f t="shared" si="87"/>
        <v>0.22779422644110284</v>
      </c>
      <c r="T997" s="20">
        <f t="shared" si="88"/>
        <v>0.15987210276744288</v>
      </c>
      <c r="U997" s="20"/>
    </row>
    <row r="998" spans="15:21" x14ac:dyDescent="0.35">
      <c r="O998" s="18">
        <v>5</v>
      </c>
      <c r="P998" s="18">
        <f t="shared" si="86"/>
        <v>4980</v>
      </c>
      <c r="Q998" s="3">
        <f t="shared" si="89"/>
        <v>7.9780696453670022E-6</v>
      </c>
      <c r="R998" s="3">
        <f t="shared" si="85"/>
        <v>3.9890348226835008E-5</v>
      </c>
      <c r="S998" s="3">
        <f t="shared" si="87"/>
        <v>0.2278341944667947</v>
      </c>
      <c r="T998" s="20">
        <f t="shared" si="88"/>
        <v>0.15956139290734003</v>
      </c>
      <c r="U998" s="20"/>
    </row>
    <row r="999" spans="15:21" x14ac:dyDescent="0.35">
      <c r="O999" s="18">
        <v>5</v>
      </c>
      <c r="P999" s="18">
        <f t="shared" si="86"/>
        <v>4985</v>
      </c>
      <c r="Q999" s="3">
        <f t="shared" si="89"/>
        <v>7.9625688015157986E-6</v>
      </c>
      <c r="R999" s="3">
        <f t="shared" si="85"/>
        <v>3.9812844007578993E-5</v>
      </c>
      <c r="S999" s="3">
        <f t="shared" si="87"/>
        <v>0.22787408481502153</v>
      </c>
      <c r="T999" s="20">
        <f t="shared" si="88"/>
        <v>0.15925137603031597</v>
      </c>
      <c r="U999" s="20"/>
    </row>
    <row r="1000" spans="15:21" x14ac:dyDescent="0.35">
      <c r="O1000" s="18">
        <v>5</v>
      </c>
      <c r="P1000" s="18">
        <f t="shared" si="86"/>
        <v>4990</v>
      </c>
      <c r="Q1000" s="3">
        <f t="shared" si="89"/>
        <v>7.9471025116088922E-6</v>
      </c>
      <c r="R1000" s="3">
        <f t="shared" si="85"/>
        <v>3.9735512558044461E-5</v>
      </c>
      <c r="S1000" s="3">
        <f t="shared" si="87"/>
        <v>0.22791389765902911</v>
      </c>
      <c r="T1000" s="20">
        <f t="shared" si="88"/>
        <v>0.15894205023217783</v>
      </c>
      <c r="U1000" s="20"/>
    </row>
    <row r="1001" spans="15:21" x14ac:dyDescent="0.35">
      <c r="O1001" s="18">
        <v>5</v>
      </c>
      <c r="P1001" s="18">
        <f t="shared" si="86"/>
        <v>4995</v>
      </c>
      <c r="Q1001" s="3">
        <f t="shared" si="89"/>
        <v>7.93167068077254E-6</v>
      </c>
      <c r="R1001" s="3">
        <f t="shared" si="85"/>
        <v>3.9658353403862698E-5</v>
      </c>
      <c r="S1001" s="3">
        <f t="shared" si="87"/>
        <v>0.22795363317158715</v>
      </c>
      <c r="T1001" s="20">
        <f t="shared" si="88"/>
        <v>0.1586334136154508</v>
      </c>
      <c r="U1001" s="20"/>
    </row>
    <row r="1002" spans="15:21" x14ac:dyDescent="0.35">
      <c r="O1002" s="18">
        <v>5</v>
      </c>
      <c r="P1002" s="18">
        <f t="shared" si="86"/>
        <v>5000</v>
      </c>
      <c r="Q1002" s="3">
        <f t="shared" si="89"/>
        <v>7.9162732144673398E-6</v>
      </c>
      <c r="R1002" s="3">
        <f t="shared" si="85"/>
        <v>3.9581366072336696E-5</v>
      </c>
      <c r="S1002" s="3">
        <f t="shared" si="87"/>
        <v>0.22799329152499101</v>
      </c>
      <c r="T1002" s="20">
        <f t="shared" si="88"/>
        <v>0.1583254642893468</v>
      </c>
      <c r="U1002" s="20"/>
    </row>
    <row r="1003" spans="15:21" x14ac:dyDescent="0.35">
      <c r="O1003" s="18">
        <v>5</v>
      </c>
      <c r="P1003" s="18">
        <f t="shared" si="86"/>
        <v>5005</v>
      </c>
      <c r="Q1003" s="3">
        <f t="shared" si="89"/>
        <v>7.9009100184867752E-6</v>
      </c>
      <c r="R1003" s="3">
        <f t="shared" si="85"/>
        <v>3.9504550092433878E-5</v>
      </c>
      <c r="S1003" s="3">
        <f t="shared" si="87"/>
        <v>0.22803287289106336</v>
      </c>
      <c r="T1003" s="20">
        <f t="shared" si="88"/>
        <v>0.15801820036973552</v>
      </c>
      <c r="U1003" s="20"/>
    </row>
    <row r="1004" spans="15:21" x14ac:dyDescent="0.35">
      <c r="O1004" s="18">
        <v>5</v>
      </c>
      <c r="P1004" s="18">
        <f t="shared" si="86"/>
        <v>5010</v>
      </c>
      <c r="Q1004" s="3">
        <f t="shared" si="89"/>
        <v>7.8855809989557075E-6</v>
      </c>
      <c r="R1004" s="3">
        <f t="shared" si="85"/>
        <v>3.9427904994778539E-5</v>
      </c>
      <c r="S1004" s="3">
        <f t="shared" si="87"/>
        <v>0.2280723774411558</v>
      </c>
      <c r="T1004" s="20">
        <f t="shared" si="88"/>
        <v>0.15771161997911415</v>
      </c>
      <c r="U1004" s="20"/>
    </row>
    <row r="1005" spans="15:21" x14ac:dyDescent="0.35">
      <c r="O1005" s="18">
        <v>5</v>
      </c>
      <c r="P1005" s="18">
        <f t="shared" si="86"/>
        <v>5015</v>
      </c>
      <c r="Q1005" s="3">
        <f t="shared" si="89"/>
        <v>7.8702860623289108E-6</v>
      </c>
      <c r="R1005" s="3">
        <f t="shared" si="85"/>
        <v>3.9351430311644556E-5</v>
      </c>
      <c r="S1005" s="3">
        <f t="shared" si="87"/>
        <v>0.22811180534615058</v>
      </c>
      <c r="T1005" s="20">
        <f t="shared" si="88"/>
        <v>0.1574057212465782</v>
      </c>
      <c r="U1005" s="20"/>
    </row>
    <row r="1006" spans="15:21" x14ac:dyDescent="0.35">
      <c r="O1006" s="18">
        <v>5</v>
      </c>
      <c r="P1006" s="18">
        <f t="shared" si="86"/>
        <v>5020</v>
      </c>
      <c r="Q1006" s="3">
        <f t="shared" si="89"/>
        <v>7.8550251153895825E-6</v>
      </c>
      <c r="R1006" s="3">
        <f t="shared" si="85"/>
        <v>3.9275125576947914E-5</v>
      </c>
      <c r="S1006" s="3">
        <f t="shared" si="87"/>
        <v>0.22815115677646222</v>
      </c>
      <c r="T1006" s="20">
        <f t="shared" si="88"/>
        <v>0.15710050230779166</v>
      </c>
      <c r="U1006" s="20"/>
    </row>
    <row r="1007" spans="15:21" x14ac:dyDescent="0.35">
      <c r="O1007" s="18">
        <v>5</v>
      </c>
      <c r="P1007" s="18">
        <f t="shared" si="86"/>
        <v>5025</v>
      </c>
      <c r="Q1007" s="3">
        <f t="shared" si="89"/>
        <v>7.8397980652478884E-6</v>
      </c>
      <c r="R1007" s="3">
        <f t="shared" si="85"/>
        <v>3.9198990326239444E-5</v>
      </c>
      <c r="S1007" s="3">
        <f t="shared" si="87"/>
        <v>0.22819043190203916</v>
      </c>
      <c r="T1007" s="20">
        <f t="shared" si="88"/>
        <v>0.15679596130495776</v>
      </c>
      <c r="U1007" s="20"/>
    </row>
    <row r="1008" spans="15:21" x14ac:dyDescent="0.35">
      <c r="O1008" s="18">
        <v>5</v>
      </c>
      <c r="P1008" s="18">
        <f t="shared" si="86"/>
        <v>5030</v>
      </c>
      <c r="Q1008" s="3">
        <f t="shared" si="89"/>
        <v>7.8246048193395224E-6</v>
      </c>
      <c r="R1008" s="3">
        <f t="shared" si="85"/>
        <v>3.912302409669761E-5</v>
      </c>
      <c r="S1008" s="3">
        <f t="shared" si="87"/>
        <v>0.22822963089236539</v>
      </c>
      <c r="T1008" s="20">
        <f t="shared" si="88"/>
        <v>0.15649209638679049</v>
      </c>
      <c r="U1008" s="20"/>
    </row>
    <row r="1009" spans="15:21" x14ac:dyDescent="0.35">
      <c r="O1009" s="18">
        <v>5</v>
      </c>
      <c r="P1009" s="18">
        <f t="shared" si="86"/>
        <v>5035</v>
      </c>
      <c r="Q1009" s="3">
        <f t="shared" si="89"/>
        <v>7.8094452854242263E-6</v>
      </c>
      <c r="R1009" s="3">
        <f t="shared" si="85"/>
        <v>3.9047226427121133E-5</v>
      </c>
      <c r="S1009" s="3">
        <f t="shared" si="87"/>
        <v>0.22826875391646209</v>
      </c>
      <c r="T1009" s="20">
        <f t="shared" si="88"/>
        <v>0.15618890570848457</v>
      </c>
      <c r="U1009" s="20"/>
    </row>
    <row r="1010" spans="15:21" x14ac:dyDescent="0.35">
      <c r="O1010" s="18">
        <v>5</v>
      </c>
      <c r="P1010" s="18">
        <f t="shared" si="86"/>
        <v>5040</v>
      </c>
      <c r="Q1010" s="3">
        <f t="shared" si="89"/>
        <v>7.7943193715843902E-6</v>
      </c>
      <c r="R1010" s="3">
        <f t="shared" si="85"/>
        <v>3.8971596857921949E-5</v>
      </c>
      <c r="S1010" s="3">
        <f t="shared" si="87"/>
        <v>0.22830780114288921</v>
      </c>
      <c r="T1010" s="20">
        <f t="shared" si="88"/>
        <v>0.15588638743168778</v>
      </c>
      <c r="U1010" s="20"/>
    </row>
    <row r="1011" spans="15:21" x14ac:dyDescent="0.35">
      <c r="O1011" s="18">
        <v>5</v>
      </c>
      <c r="P1011" s="18">
        <f t="shared" si="86"/>
        <v>5045</v>
      </c>
      <c r="Q1011" s="3">
        <f t="shared" si="89"/>
        <v>7.779226986223589E-6</v>
      </c>
      <c r="R1011" s="3">
        <f t="shared" si="85"/>
        <v>3.8896134931117943E-5</v>
      </c>
      <c r="S1011" s="3">
        <f t="shared" si="87"/>
        <v>0.22834677273974713</v>
      </c>
      <c r="T1011" s="20">
        <f t="shared" si="88"/>
        <v>0.15558453972447178</v>
      </c>
      <c r="U1011" s="20"/>
    </row>
    <row r="1012" spans="15:21" x14ac:dyDescent="0.35">
      <c r="O1012" s="18">
        <v>5</v>
      </c>
      <c r="P1012" s="18">
        <f t="shared" si="86"/>
        <v>5050</v>
      </c>
      <c r="Q1012" s="3">
        <f t="shared" si="89"/>
        <v>7.7641680380651864E-6</v>
      </c>
      <c r="R1012" s="3">
        <f t="shared" si="85"/>
        <v>3.8820840190325934E-5</v>
      </c>
      <c r="S1012" s="3">
        <f t="shared" si="87"/>
        <v>0.22838566887467823</v>
      </c>
      <c r="T1012" s="20">
        <f t="shared" si="88"/>
        <v>0.15528336076130372</v>
      </c>
      <c r="U1012" s="20"/>
    </row>
    <row r="1013" spans="15:21" x14ac:dyDescent="0.35">
      <c r="O1013" s="18">
        <v>5</v>
      </c>
      <c r="P1013" s="18">
        <f t="shared" si="86"/>
        <v>5055</v>
      </c>
      <c r="Q1013" s="3">
        <f t="shared" si="89"/>
        <v>7.749142436150878E-6</v>
      </c>
      <c r="R1013" s="3">
        <f t="shared" si="85"/>
        <v>3.8745712180754388E-5</v>
      </c>
      <c r="S1013" s="3">
        <f t="shared" si="87"/>
        <v>0.22842448971486856</v>
      </c>
      <c r="T1013" s="20">
        <f t="shared" si="88"/>
        <v>0.1549828487230176</v>
      </c>
      <c r="U1013" s="20"/>
    </row>
    <row r="1014" spans="15:21" x14ac:dyDescent="0.35">
      <c r="O1014" s="18">
        <v>5</v>
      </c>
      <c r="P1014" s="18">
        <f t="shared" si="86"/>
        <v>5060</v>
      </c>
      <c r="Q1014" s="3">
        <f t="shared" si="89"/>
        <v>7.7341500898393344E-6</v>
      </c>
      <c r="R1014" s="3">
        <f t="shared" si="85"/>
        <v>3.8670750449196675E-5</v>
      </c>
      <c r="S1014" s="3">
        <f t="shared" si="87"/>
        <v>0.22846323542704933</v>
      </c>
      <c r="T1014" s="20">
        <f t="shared" si="88"/>
        <v>0.15468300179678668</v>
      </c>
      <c r="U1014" s="20"/>
    </row>
    <row r="1015" spans="15:21" x14ac:dyDescent="0.35">
      <c r="O1015" s="18">
        <v>5</v>
      </c>
      <c r="P1015" s="18">
        <f t="shared" si="86"/>
        <v>5065</v>
      </c>
      <c r="Q1015" s="3">
        <f t="shared" si="89"/>
        <v>7.719190908804773E-6</v>
      </c>
      <c r="R1015" s="3">
        <f t="shared" si="85"/>
        <v>3.8595954544023867E-5</v>
      </c>
      <c r="S1015" s="3">
        <f t="shared" si="87"/>
        <v>0.22850190617749852</v>
      </c>
      <c r="T1015" s="20">
        <f t="shared" si="88"/>
        <v>0.15438381817609548</v>
      </c>
      <c r="U1015" s="20"/>
    </row>
    <row r="1016" spans="15:21" x14ac:dyDescent="0.35">
      <c r="O1016" s="18">
        <v>5</v>
      </c>
      <c r="P1016" s="18">
        <f t="shared" si="86"/>
        <v>5070</v>
      </c>
      <c r="Q1016" s="3">
        <f t="shared" si="89"/>
        <v>7.7042648030355487E-6</v>
      </c>
      <c r="R1016" s="3">
        <f t="shared" si="85"/>
        <v>3.8521324015177745E-5</v>
      </c>
      <c r="S1016" s="3">
        <f t="shared" si="87"/>
        <v>0.22854050213204255</v>
      </c>
      <c r="T1016" s="20">
        <f t="shared" si="88"/>
        <v>0.15408529606071097</v>
      </c>
      <c r="U1016" s="20"/>
    </row>
    <row r="1017" spans="15:21" x14ac:dyDescent="0.35">
      <c r="O1017" s="18">
        <v>5</v>
      </c>
      <c r="P1017" s="18">
        <f t="shared" si="86"/>
        <v>5075</v>
      </c>
      <c r="Q1017" s="3">
        <f t="shared" si="89"/>
        <v>7.6893716828327986E-6</v>
      </c>
      <c r="R1017" s="3">
        <f t="shared" si="85"/>
        <v>3.8446858414163994E-5</v>
      </c>
      <c r="S1017" s="3">
        <f t="shared" si="87"/>
        <v>0.22857902345605774</v>
      </c>
      <c r="T1017" s="20">
        <f t="shared" si="88"/>
        <v>0.15378743365665595</v>
      </c>
      <c r="U1017" s="20"/>
    </row>
    <row r="1018" spans="15:21" x14ac:dyDescent="0.35">
      <c r="O1018" s="18">
        <v>5</v>
      </c>
      <c r="P1018" s="18">
        <f t="shared" si="86"/>
        <v>5080</v>
      </c>
      <c r="Q1018" s="3">
        <f t="shared" si="89"/>
        <v>7.6745114588090577E-6</v>
      </c>
      <c r="R1018" s="3">
        <f t="shared" si="85"/>
        <v>3.8372557294045287E-5</v>
      </c>
      <c r="S1018" s="3">
        <f t="shared" si="87"/>
        <v>0.22861747031447191</v>
      </c>
      <c r="T1018" s="20">
        <f t="shared" si="88"/>
        <v>0.15349022917618116</v>
      </c>
      <c r="U1018" s="20"/>
    </row>
    <row r="1019" spans="15:21" x14ac:dyDescent="0.35">
      <c r="O1019" s="18">
        <v>5</v>
      </c>
      <c r="P1019" s="18">
        <f t="shared" si="86"/>
        <v>5085</v>
      </c>
      <c r="Q1019" s="3">
        <f t="shared" si="89"/>
        <v>7.6596840418868754E-6</v>
      </c>
      <c r="R1019" s="3">
        <f t="shared" si="85"/>
        <v>3.8298420209434379E-5</v>
      </c>
      <c r="S1019" s="3">
        <f t="shared" si="87"/>
        <v>0.22865584287176596</v>
      </c>
      <c r="T1019" s="20">
        <f t="shared" si="88"/>
        <v>0.15319368083773749</v>
      </c>
      <c r="U1019" s="20"/>
    </row>
    <row r="1020" spans="15:21" x14ac:dyDescent="0.35">
      <c r="O1020" s="18">
        <v>5</v>
      </c>
      <c r="P1020" s="18">
        <f t="shared" si="86"/>
        <v>5090</v>
      </c>
      <c r="Q1020" s="3">
        <f t="shared" si="89"/>
        <v>7.6448893432974562E-6</v>
      </c>
      <c r="R1020" s="3">
        <f t="shared" si="85"/>
        <v>3.8224446716487279E-5</v>
      </c>
      <c r="S1020" s="3">
        <f t="shared" si="87"/>
        <v>0.22869414129197541</v>
      </c>
      <c r="T1020" s="20">
        <f t="shared" si="88"/>
        <v>0.15289778686594913</v>
      </c>
      <c r="U1020" s="20"/>
    </row>
    <row r="1021" spans="15:21" x14ac:dyDescent="0.35">
      <c r="O1021" s="18">
        <v>5</v>
      </c>
      <c r="P1021" s="18">
        <f t="shared" si="86"/>
        <v>5095</v>
      </c>
      <c r="Q1021" s="3">
        <f t="shared" si="89"/>
        <v>7.6301272745793083E-6</v>
      </c>
      <c r="R1021" s="3">
        <f t="shared" si="85"/>
        <v>3.8150636372896543E-5</v>
      </c>
      <c r="S1021" s="3">
        <f t="shared" si="87"/>
        <v>0.22873236573869191</v>
      </c>
      <c r="T1021" s="20">
        <f t="shared" si="88"/>
        <v>0.15260254549158617</v>
      </c>
      <c r="U1021" s="20"/>
    </row>
    <row r="1022" spans="15:21" x14ac:dyDescent="0.35">
      <c r="O1022" s="18">
        <v>5</v>
      </c>
      <c r="P1022" s="18">
        <f t="shared" si="86"/>
        <v>5100</v>
      </c>
      <c r="Q1022" s="3">
        <f t="shared" si="89"/>
        <v>7.615397747576906E-6</v>
      </c>
      <c r="R1022" s="3">
        <f t="shared" si="85"/>
        <v>3.8076988737884528E-5</v>
      </c>
      <c r="S1022" s="3">
        <f t="shared" si="87"/>
        <v>0.22877051637506479</v>
      </c>
      <c r="T1022" s="20">
        <f t="shared" si="88"/>
        <v>0.15230795495153812</v>
      </c>
      <c r="U1022" s="20"/>
    </row>
    <row r="1023" spans="15:21" x14ac:dyDescent="0.35">
      <c r="O1023" s="18">
        <v>5</v>
      </c>
      <c r="P1023" s="18">
        <f t="shared" si="86"/>
        <v>5105</v>
      </c>
      <c r="Q1023" s="3">
        <f t="shared" si="89"/>
        <v>7.6007006744393073E-6</v>
      </c>
      <c r="R1023" s="3">
        <f t="shared" si="85"/>
        <v>3.8003503372196534E-5</v>
      </c>
      <c r="S1023" s="3">
        <f t="shared" si="87"/>
        <v>0.22880859336380269</v>
      </c>
      <c r="T1023" s="20">
        <f t="shared" si="88"/>
        <v>0.15201401348878615</v>
      </c>
      <c r="U1023" s="20"/>
    </row>
    <row r="1024" spans="15:21" x14ac:dyDescent="0.35">
      <c r="O1024" s="18">
        <v>5</v>
      </c>
      <c r="P1024" s="18">
        <f t="shared" si="86"/>
        <v>5110</v>
      </c>
      <c r="Q1024" s="3">
        <f t="shared" si="89"/>
        <v>7.5860359676188825E-6</v>
      </c>
      <c r="R1024" s="3">
        <f t="shared" si="85"/>
        <v>3.7930179838094413E-5</v>
      </c>
      <c r="S1024" s="3">
        <f t="shared" si="87"/>
        <v>0.22884659686717487</v>
      </c>
      <c r="T1024" s="20">
        <f t="shared" si="88"/>
        <v>0.15172071935237763</v>
      </c>
      <c r="U1024" s="20"/>
    </row>
    <row r="1025" spans="15:21" x14ac:dyDescent="0.35">
      <c r="O1025" s="18">
        <v>5</v>
      </c>
      <c r="P1025" s="18">
        <f t="shared" si="86"/>
        <v>5115</v>
      </c>
      <c r="Q1025" s="3">
        <f t="shared" si="89"/>
        <v>7.5714035398699124E-6</v>
      </c>
      <c r="R1025" s="3">
        <f t="shared" si="85"/>
        <v>3.7857017699349561E-5</v>
      </c>
      <c r="S1025" s="3">
        <f t="shared" si="87"/>
        <v>0.22888452704701298</v>
      </c>
      <c r="T1025" s="20">
        <f t="shared" si="88"/>
        <v>0.15142807079739823</v>
      </c>
      <c r="U1025" s="20"/>
    </row>
    <row r="1026" spans="15:21" x14ac:dyDescent="0.35">
      <c r="O1026" s="18">
        <v>5</v>
      </c>
      <c r="P1026" s="18">
        <f t="shared" si="86"/>
        <v>5120</v>
      </c>
      <c r="Q1026" s="3">
        <f t="shared" si="89"/>
        <v>7.5568033042473475E-6</v>
      </c>
      <c r="R1026" s="3">
        <f t="shared" ref="R1026:R1089" si="90">Q1026*O1026</f>
        <v>3.778401652123674E-5</v>
      </c>
      <c r="S1026" s="3">
        <f t="shared" si="87"/>
        <v>0.22892238406471233</v>
      </c>
      <c r="T1026" s="20">
        <f t="shared" si="88"/>
        <v>0.15113606608494695</v>
      </c>
      <c r="U1026" s="20"/>
    </row>
    <row r="1027" spans="15:21" x14ac:dyDescent="0.35">
      <c r="O1027" s="18">
        <v>5</v>
      </c>
      <c r="P1027" s="18">
        <f t="shared" ref="P1027:P1090" si="91">O1027+P1026</f>
        <v>5125</v>
      </c>
      <c r="Q1027" s="3">
        <f t="shared" si="89"/>
        <v>7.5422351741054271E-6</v>
      </c>
      <c r="R1027" s="3">
        <f t="shared" si="90"/>
        <v>3.7711175870527138E-5</v>
      </c>
      <c r="S1027" s="3">
        <f t="shared" ref="S1027:S1090" si="92">S1026+R1026</f>
        <v>0.22896016808123357</v>
      </c>
      <c r="T1027" s="20">
        <f t="shared" ref="T1027:T1090" si="93">Q1027*$B$9*$B$2*0.5/$B$11</f>
        <v>0.15084470348210854</v>
      </c>
      <c r="U1027" s="20"/>
    </row>
    <row r="1028" spans="15:21" x14ac:dyDescent="0.35">
      <c r="O1028" s="18">
        <v>5</v>
      </c>
      <c r="P1028" s="18">
        <f t="shared" si="91"/>
        <v>5130</v>
      </c>
      <c r="Q1028" s="3">
        <f t="shared" ref="Q1028:Q1091" si="94">$T$2*(1-(S1028/$B$12))/($B$9*((0.5*$B$2/$B$11)+(S1028/$B$10)))</f>
        <v>7.5276990630964106E-6</v>
      </c>
      <c r="R1028" s="3">
        <f t="shared" si="90"/>
        <v>3.7638495315482051E-5</v>
      </c>
      <c r="S1028" s="3">
        <f t="shared" si="92"/>
        <v>0.2289978792571041</v>
      </c>
      <c r="T1028" s="20">
        <f t="shared" si="93"/>
        <v>0.1505539812619282</v>
      </c>
      <c r="U1028" s="20"/>
    </row>
    <row r="1029" spans="15:21" x14ac:dyDescent="0.35">
      <c r="O1029" s="18">
        <v>5</v>
      </c>
      <c r="P1029" s="18">
        <f t="shared" si="91"/>
        <v>5135</v>
      </c>
      <c r="Q1029" s="3">
        <f t="shared" si="94"/>
        <v>7.5131948851692756E-6</v>
      </c>
      <c r="R1029" s="3">
        <f t="shared" si="90"/>
        <v>3.7565974425846378E-5</v>
      </c>
      <c r="S1029" s="3">
        <f t="shared" si="92"/>
        <v>0.22903551775241959</v>
      </c>
      <c r="T1029" s="20">
        <f t="shared" si="93"/>
        <v>0.1502638977033855</v>
      </c>
      <c r="U1029" s="20"/>
    </row>
    <row r="1030" spans="15:21" x14ac:dyDescent="0.35">
      <c r="O1030" s="18">
        <v>5</v>
      </c>
      <c r="P1030" s="18">
        <f t="shared" si="91"/>
        <v>5140</v>
      </c>
      <c r="Q1030" s="3">
        <f t="shared" si="94"/>
        <v>7.4987225545684152E-6</v>
      </c>
      <c r="R1030" s="3">
        <f t="shared" si="90"/>
        <v>3.7493612772842073E-5</v>
      </c>
      <c r="S1030" s="3">
        <f t="shared" si="92"/>
        <v>0.22907308372684543</v>
      </c>
      <c r="T1030" s="20">
        <f t="shared" si="93"/>
        <v>0.14997445109136828</v>
      </c>
      <c r="U1030" s="20"/>
    </row>
    <row r="1031" spans="15:21" x14ac:dyDescent="0.35">
      <c r="O1031" s="18">
        <v>5</v>
      </c>
      <c r="P1031" s="18">
        <f t="shared" si="91"/>
        <v>5145</v>
      </c>
      <c r="Q1031" s="3">
        <f t="shared" si="94"/>
        <v>7.4842819858323529E-6</v>
      </c>
      <c r="R1031" s="3">
        <f t="shared" si="90"/>
        <v>3.7421409929161762E-5</v>
      </c>
      <c r="S1031" s="3">
        <f t="shared" si="92"/>
        <v>0.22911057733961826</v>
      </c>
      <c r="T1031" s="20">
        <f t="shared" si="93"/>
        <v>0.14968563971664706</v>
      </c>
      <c r="U1031" s="20"/>
    </row>
    <row r="1032" spans="15:21" x14ac:dyDescent="0.35">
      <c r="O1032" s="18">
        <v>5</v>
      </c>
      <c r="P1032" s="18">
        <f t="shared" si="91"/>
        <v>5150</v>
      </c>
      <c r="Q1032" s="3">
        <f t="shared" si="94"/>
        <v>7.4698730937924653E-6</v>
      </c>
      <c r="R1032" s="3">
        <f t="shared" si="90"/>
        <v>3.7349365468962328E-5</v>
      </c>
      <c r="S1032" s="3">
        <f t="shared" si="92"/>
        <v>0.22914799874954742</v>
      </c>
      <c r="T1032" s="20">
        <f t="shared" si="93"/>
        <v>0.14939746187584929</v>
      </c>
      <c r="U1032" s="20"/>
    </row>
    <row r="1033" spans="15:21" x14ac:dyDescent="0.35">
      <c r="O1033" s="18">
        <v>5</v>
      </c>
      <c r="P1033" s="18">
        <f t="shared" si="91"/>
        <v>5155</v>
      </c>
      <c r="Q1033" s="3">
        <f t="shared" si="94"/>
        <v>7.455495793571723E-6</v>
      </c>
      <c r="R1033" s="3">
        <f t="shared" si="90"/>
        <v>3.7277478967858616E-5</v>
      </c>
      <c r="S1033" s="3">
        <f t="shared" si="92"/>
        <v>0.22918534811501637</v>
      </c>
      <c r="T1033" s="20">
        <f t="shared" si="93"/>
        <v>0.14910991587143446</v>
      </c>
      <c r="U1033" s="20"/>
    </row>
    <row r="1034" spans="15:21" x14ac:dyDescent="0.35">
      <c r="O1034" s="18">
        <v>5</v>
      </c>
      <c r="P1034" s="18">
        <f t="shared" si="91"/>
        <v>5160</v>
      </c>
      <c r="Q1034" s="3">
        <f t="shared" si="94"/>
        <v>7.4411500005834015E-6</v>
      </c>
      <c r="R1034" s="3">
        <f t="shared" si="90"/>
        <v>3.7205750002917011E-5</v>
      </c>
      <c r="S1034" s="3">
        <f t="shared" si="92"/>
        <v>0.22922262559398424</v>
      </c>
      <c r="T1034" s="20">
        <f t="shared" si="93"/>
        <v>0.14882300001166804</v>
      </c>
      <c r="U1034" s="20"/>
    </row>
    <row r="1035" spans="15:21" x14ac:dyDescent="0.35">
      <c r="O1035" s="18">
        <v>5</v>
      </c>
      <c r="P1035" s="18">
        <f t="shared" si="91"/>
        <v>5165</v>
      </c>
      <c r="Q1035" s="3">
        <f t="shared" si="94"/>
        <v>7.4268356305298636E-6</v>
      </c>
      <c r="R1035" s="3">
        <f t="shared" si="90"/>
        <v>3.7134178152649317E-5</v>
      </c>
      <c r="S1035" s="3">
        <f t="shared" si="92"/>
        <v>0.22925983134398714</v>
      </c>
      <c r="T1035" s="20">
        <f t="shared" si="93"/>
        <v>0.14853671261059728</v>
      </c>
      <c r="U1035" s="20"/>
    </row>
    <row r="1036" spans="15:21" x14ac:dyDescent="0.35">
      <c r="O1036" s="18">
        <v>5</v>
      </c>
      <c r="P1036" s="18">
        <f t="shared" si="91"/>
        <v>5170</v>
      </c>
      <c r="Q1036" s="3">
        <f t="shared" si="94"/>
        <v>7.4125525994012519E-6</v>
      </c>
      <c r="R1036" s="3">
        <f t="shared" si="90"/>
        <v>3.7062762997006259E-5</v>
      </c>
      <c r="S1036" s="3">
        <f t="shared" si="92"/>
        <v>0.2292969655221398</v>
      </c>
      <c r="T1036" s="20">
        <f t="shared" si="93"/>
        <v>0.14825105198802505</v>
      </c>
      <c r="U1036" s="20"/>
    </row>
    <row r="1037" spans="15:21" x14ac:dyDescent="0.35">
      <c r="O1037" s="18">
        <v>5</v>
      </c>
      <c r="P1037" s="18">
        <f t="shared" si="91"/>
        <v>5175</v>
      </c>
      <c r="Q1037" s="3">
        <f t="shared" si="94"/>
        <v>7.398300823474292E-6</v>
      </c>
      <c r="R1037" s="3">
        <f t="shared" si="90"/>
        <v>3.6991504117371462E-5</v>
      </c>
      <c r="S1037" s="3">
        <f t="shared" si="92"/>
        <v>0.2293340282851368</v>
      </c>
      <c r="T1037" s="20">
        <f t="shared" si="93"/>
        <v>0.14796601646948584</v>
      </c>
      <c r="U1037" s="20"/>
    </row>
    <row r="1038" spans="15:21" x14ac:dyDescent="0.35">
      <c r="O1038" s="18">
        <v>5</v>
      </c>
      <c r="P1038" s="18">
        <f t="shared" si="91"/>
        <v>5180</v>
      </c>
      <c r="Q1038" s="3">
        <f t="shared" si="94"/>
        <v>7.3840802193110268E-6</v>
      </c>
      <c r="R1038" s="3">
        <f t="shared" si="90"/>
        <v>3.6920401096555131E-5</v>
      </c>
      <c r="S1038" s="3">
        <f t="shared" si="92"/>
        <v>0.22937101978925417</v>
      </c>
      <c r="T1038" s="20">
        <f t="shared" si="93"/>
        <v>0.14768160438622055</v>
      </c>
      <c r="U1038" s="20"/>
    </row>
    <row r="1039" spans="15:21" x14ac:dyDescent="0.35">
      <c r="O1039" s="18">
        <v>5</v>
      </c>
      <c r="P1039" s="18">
        <f t="shared" si="91"/>
        <v>5185</v>
      </c>
      <c r="Q1039" s="3">
        <f t="shared" si="94"/>
        <v>7.3698907037575958E-6</v>
      </c>
      <c r="R1039" s="3">
        <f t="shared" si="90"/>
        <v>3.684945351878798E-5</v>
      </c>
      <c r="S1039" s="3">
        <f t="shared" si="92"/>
        <v>0.22940794019035074</v>
      </c>
      <c r="T1039" s="20">
        <f t="shared" si="93"/>
        <v>0.14739781407515193</v>
      </c>
      <c r="U1039" s="20"/>
    </row>
    <row r="1040" spans="15:21" x14ac:dyDescent="0.35">
      <c r="O1040" s="18">
        <v>5</v>
      </c>
      <c r="P1040" s="18">
        <f t="shared" si="91"/>
        <v>5190</v>
      </c>
      <c r="Q1040" s="3">
        <f t="shared" si="94"/>
        <v>7.3557321939430212E-6</v>
      </c>
      <c r="R1040" s="3">
        <f t="shared" si="90"/>
        <v>3.6778660969715103E-5</v>
      </c>
      <c r="S1040" s="3">
        <f t="shared" si="92"/>
        <v>0.22944478964386952</v>
      </c>
      <c r="T1040" s="20">
        <f t="shared" si="93"/>
        <v>0.14711464387886042</v>
      </c>
      <c r="U1040" s="20"/>
    </row>
    <row r="1041" spans="15:21" x14ac:dyDescent="0.35">
      <c r="O1041" s="18">
        <v>5</v>
      </c>
      <c r="P1041" s="18">
        <f t="shared" si="91"/>
        <v>5195</v>
      </c>
      <c r="Q1041" s="3">
        <f t="shared" si="94"/>
        <v>7.3416046072779501E-6</v>
      </c>
      <c r="R1041" s="3">
        <f t="shared" si="90"/>
        <v>3.6708023036389753E-5</v>
      </c>
      <c r="S1041" s="3">
        <f t="shared" si="92"/>
        <v>0.22948156830483923</v>
      </c>
      <c r="T1041" s="20">
        <f t="shared" si="93"/>
        <v>0.14683209214555901</v>
      </c>
      <c r="U1041" s="20"/>
    </row>
    <row r="1042" spans="15:21" x14ac:dyDescent="0.35">
      <c r="O1042" s="18">
        <v>5</v>
      </c>
      <c r="P1042" s="18">
        <f t="shared" si="91"/>
        <v>5200</v>
      </c>
      <c r="Q1042" s="3">
        <f t="shared" si="94"/>
        <v>7.3275078614534788E-6</v>
      </c>
      <c r="R1042" s="3">
        <f t="shared" si="90"/>
        <v>3.6637539307267391E-5</v>
      </c>
      <c r="S1042" s="3">
        <f t="shared" si="92"/>
        <v>0.22951827632787564</v>
      </c>
      <c r="T1042" s="20">
        <f t="shared" si="93"/>
        <v>0.14655015722906956</v>
      </c>
      <c r="U1042" s="20"/>
    </row>
    <row r="1043" spans="15:21" x14ac:dyDescent="0.35">
      <c r="O1043" s="18">
        <v>5</v>
      </c>
      <c r="P1043" s="18">
        <f t="shared" si="91"/>
        <v>5205</v>
      </c>
      <c r="Q1043" s="3">
        <f t="shared" si="94"/>
        <v>7.3134418744399457E-6</v>
      </c>
      <c r="R1043" s="3">
        <f t="shared" si="90"/>
        <v>3.656720937219973E-5</v>
      </c>
      <c r="S1043" s="3">
        <f t="shared" si="92"/>
        <v>0.22955491386718291</v>
      </c>
      <c r="T1043" s="20">
        <f t="shared" si="93"/>
        <v>0.14626883748879893</v>
      </c>
      <c r="U1043" s="20"/>
    </row>
    <row r="1044" spans="15:21" x14ac:dyDescent="0.35">
      <c r="O1044" s="18">
        <v>5</v>
      </c>
      <c r="P1044" s="18">
        <f t="shared" si="91"/>
        <v>5210</v>
      </c>
      <c r="Q1044" s="3">
        <f t="shared" si="94"/>
        <v>7.2994065644857069E-6</v>
      </c>
      <c r="R1044" s="3">
        <f t="shared" si="90"/>
        <v>3.6497032822428531E-5</v>
      </c>
      <c r="S1044" s="3">
        <f t="shared" si="92"/>
        <v>0.22959148107655511</v>
      </c>
      <c r="T1044" s="20">
        <f t="shared" si="93"/>
        <v>0.14598813128971413</v>
      </c>
      <c r="U1044" s="20"/>
    </row>
    <row r="1045" spans="15:21" x14ac:dyDescent="0.35">
      <c r="O1045" s="18">
        <v>5</v>
      </c>
      <c r="P1045" s="18">
        <f t="shared" si="91"/>
        <v>5215</v>
      </c>
      <c r="Q1045" s="3">
        <f t="shared" si="94"/>
        <v>7.2854018501159583E-6</v>
      </c>
      <c r="R1045" s="3">
        <f t="shared" si="90"/>
        <v>3.642700925057979E-5</v>
      </c>
      <c r="S1045" s="3">
        <f t="shared" si="92"/>
        <v>0.22962797810937755</v>
      </c>
      <c r="T1045" s="20">
        <f t="shared" si="93"/>
        <v>0.14570803700231916</v>
      </c>
      <c r="U1045" s="20"/>
    </row>
    <row r="1046" spans="15:21" x14ac:dyDescent="0.35">
      <c r="O1046" s="18">
        <v>5</v>
      </c>
      <c r="P1046" s="18">
        <f t="shared" si="91"/>
        <v>5220</v>
      </c>
      <c r="Q1046" s="3">
        <f t="shared" si="94"/>
        <v>7.2714276501315566E-6</v>
      </c>
      <c r="R1046" s="3">
        <f t="shared" si="90"/>
        <v>3.635713825065778E-5</v>
      </c>
      <c r="S1046" s="3">
        <f t="shared" si="92"/>
        <v>0.22966440511862812</v>
      </c>
      <c r="T1046" s="20">
        <f t="shared" si="93"/>
        <v>0.14542855300263113</v>
      </c>
      <c r="U1046" s="20"/>
    </row>
    <row r="1047" spans="15:21" x14ac:dyDescent="0.35">
      <c r="O1047" s="18">
        <v>5</v>
      </c>
      <c r="P1047" s="18">
        <f t="shared" si="91"/>
        <v>5225</v>
      </c>
      <c r="Q1047" s="3">
        <f t="shared" si="94"/>
        <v>7.2574838836078237E-6</v>
      </c>
      <c r="R1047" s="3">
        <f t="shared" si="90"/>
        <v>3.6287419418039118E-5</v>
      </c>
      <c r="S1047" s="3">
        <f t="shared" si="92"/>
        <v>0.22970076225687877</v>
      </c>
      <c r="T1047" s="20">
        <f t="shared" si="93"/>
        <v>0.14514967767215647</v>
      </c>
      <c r="U1047" s="20"/>
    </row>
    <row r="1048" spans="15:21" x14ac:dyDescent="0.35">
      <c r="O1048" s="18">
        <v>5</v>
      </c>
      <c r="P1048" s="18">
        <f t="shared" si="91"/>
        <v>5230</v>
      </c>
      <c r="Q1048" s="3">
        <f t="shared" si="94"/>
        <v>7.2435704698933622E-6</v>
      </c>
      <c r="R1048" s="3">
        <f t="shared" si="90"/>
        <v>3.6217852349466813E-5</v>
      </c>
      <c r="S1048" s="3">
        <f t="shared" si="92"/>
        <v>0.22973704967629682</v>
      </c>
      <c r="T1048" s="20">
        <f t="shared" si="93"/>
        <v>0.14487140939786725</v>
      </c>
      <c r="U1048" s="20"/>
    </row>
    <row r="1049" spans="15:21" x14ac:dyDescent="0.35">
      <c r="O1049" s="18">
        <v>5</v>
      </c>
      <c r="P1049" s="18">
        <f t="shared" si="91"/>
        <v>5235</v>
      </c>
      <c r="Q1049" s="3">
        <f t="shared" si="94"/>
        <v>7.2296873286089254E-6</v>
      </c>
      <c r="R1049" s="3">
        <f t="shared" si="90"/>
        <v>3.6148436643044624E-5</v>
      </c>
      <c r="S1049" s="3">
        <f t="shared" si="92"/>
        <v>0.2297732675286463</v>
      </c>
      <c r="T1049" s="20">
        <f t="shared" si="93"/>
        <v>0.14459374657217852</v>
      </c>
      <c r="U1049" s="20"/>
    </row>
    <row r="1050" spans="15:21" x14ac:dyDescent="0.35">
      <c r="O1050" s="18">
        <v>5</v>
      </c>
      <c r="P1050" s="18">
        <f t="shared" si="91"/>
        <v>5240</v>
      </c>
      <c r="Q1050" s="3">
        <f t="shared" si="94"/>
        <v>7.21583437964622E-6</v>
      </c>
      <c r="R1050" s="3">
        <f t="shared" si="90"/>
        <v>3.6079171898231101E-5</v>
      </c>
      <c r="S1050" s="3">
        <f t="shared" si="92"/>
        <v>0.22980941596528934</v>
      </c>
      <c r="T1050" s="20">
        <f t="shared" si="93"/>
        <v>0.1443166875929244</v>
      </c>
      <c r="U1050" s="20"/>
    </row>
    <row r="1051" spans="15:21" x14ac:dyDescent="0.35">
      <c r="O1051" s="18">
        <v>5</v>
      </c>
      <c r="P1051" s="18">
        <f t="shared" si="91"/>
        <v>5245</v>
      </c>
      <c r="Q1051" s="3">
        <f t="shared" si="94"/>
        <v>7.2020115431667536E-6</v>
      </c>
      <c r="R1051" s="3">
        <f t="shared" si="90"/>
        <v>3.6010057715833769E-5</v>
      </c>
      <c r="S1051" s="3">
        <f t="shared" si="92"/>
        <v>0.22984549513718758</v>
      </c>
      <c r="T1051" s="20">
        <f t="shared" si="93"/>
        <v>0.14404023086333506</v>
      </c>
      <c r="U1051" s="20"/>
    </row>
    <row r="1052" spans="15:21" x14ac:dyDescent="0.35">
      <c r="O1052" s="18">
        <v>5</v>
      </c>
      <c r="P1052" s="18">
        <f t="shared" si="91"/>
        <v>5250</v>
      </c>
      <c r="Q1052" s="3">
        <f t="shared" si="94"/>
        <v>7.188218739600706E-6</v>
      </c>
      <c r="R1052" s="3">
        <f t="shared" si="90"/>
        <v>3.5941093698003532E-5</v>
      </c>
      <c r="S1052" s="3">
        <f t="shared" si="92"/>
        <v>0.22988150519490341</v>
      </c>
      <c r="T1052" s="20">
        <f t="shared" si="93"/>
        <v>0.14376437479201412</v>
      </c>
      <c r="U1052" s="20"/>
    </row>
    <row r="1053" spans="15:21" x14ac:dyDescent="0.35">
      <c r="O1053" s="18">
        <v>5</v>
      </c>
      <c r="P1053" s="18">
        <f t="shared" si="91"/>
        <v>5255</v>
      </c>
      <c r="Q1053" s="3">
        <f t="shared" si="94"/>
        <v>7.1744558896457576E-6</v>
      </c>
      <c r="R1053" s="3">
        <f t="shared" si="90"/>
        <v>3.587227944822879E-5</v>
      </c>
      <c r="S1053" s="3">
        <f t="shared" si="92"/>
        <v>0.22991744628860142</v>
      </c>
      <c r="T1053" s="20">
        <f t="shared" si="93"/>
        <v>0.14348911779291515</v>
      </c>
      <c r="U1053" s="20"/>
    </row>
    <row r="1054" spans="15:21" x14ac:dyDescent="0.35">
      <c r="O1054" s="18">
        <v>5</v>
      </c>
      <c r="P1054" s="18">
        <f t="shared" si="91"/>
        <v>5260</v>
      </c>
      <c r="Q1054" s="3">
        <f t="shared" si="94"/>
        <v>7.1607229142659656E-6</v>
      </c>
      <c r="R1054" s="3">
        <f t="shared" si="90"/>
        <v>3.5803614571329831E-5</v>
      </c>
      <c r="S1054" s="3">
        <f t="shared" si="92"/>
        <v>0.22995331856804965</v>
      </c>
      <c r="T1054" s="20">
        <f t="shared" si="93"/>
        <v>0.14321445828531931</v>
      </c>
      <c r="U1054" s="20"/>
    </row>
    <row r="1055" spans="15:21" x14ac:dyDescent="0.35">
      <c r="O1055" s="18">
        <v>5</v>
      </c>
      <c r="P1055" s="18">
        <f t="shared" si="91"/>
        <v>5265</v>
      </c>
      <c r="Q1055" s="3">
        <f t="shared" si="94"/>
        <v>7.1470197346906319E-6</v>
      </c>
      <c r="R1055" s="3">
        <f t="shared" si="90"/>
        <v>3.5735098673453159E-5</v>
      </c>
      <c r="S1055" s="3">
        <f t="shared" si="92"/>
        <v>0.22998912218262099</v>
      </c>
      <c r="T1055" s="20">
        <f t="shared" si="93"/>
        <v>0.14294039469381262</v>
      </c>
      <c r="U1055" s="20"/>
    </row>
    <row r="1056" spans="15:21" x14ac:dyDescent="0.35">
      <c r="O1056" s="18">
        <v>5</v>
      </c>
      <c r="P1056" s="18">
        <f t="shared" si="91"/>
        <v>5270</v>
      </c>
      <c r="Q1056" s="3">
        <f t="shared" si="94"/>
        <v>7.1333462724131845E-6</v>
      </c>
      <c r="R1056" s="3">
        <f t="shared" si="90"/>
        <v>3.5666731362065921E-5</v>
      </c>
      <c r="S1056" s="3">
        <f t="shared" si="92"/>
        <v>0.23002485728129443</v>
      </c>
      <c r="T1056" s="20">
        <f t="shared" si="93"/>
        <v>0.14266692544826368</v>
      </c>
      <c r="U1056" s="20"/>
    </row>
    <row r="1057" spans="15:21" x14ac:dyDescent="0.35">
      <c r="O1057" s="18">
        <v>5</v>
      </c>
      <c r="P1057" s="18">
        <f t="shared" si="91"/>
        <v>5275</v>
      </c>
      <c r="Q1057" s="3">
        <f t="shared" si="94"/>
        <v>7.1197024491900095E-6</v>
      </c>
      <c r="R1057" s="3">
        <f t="shared" si="90"/>
        <v>3.5598512245950051E-5</v>
      </c>
      <c r="S1057" s="3">
        <f t="shared" si="92"/>
        <v>0.2300605240126565</v>
      </c>
      <c r="T1057" s="20">
        <f t="shared" si="93"/>
        <v>0.14239404898380018</v>
      </c>
      <c r="U1057" s="20"/>
    </row>
    <row r="1058" spans="15:21" x14ac:dyDescent="0.35">
      <c r="O1058" s="18">
        <v>5</v>
      </c>
      <c r="P1058" s="18">
        <f t="shared" si="91"/>
        <v>5280</v>
      </c>
      <c r="Q1058" s="3">
        <f t="shared" si="94"/>
        <v>7.1060881870394167E-6</v>
      </c>
      <c r="R1058" s="3">
        <f t="shared" si="90"/>
        <v>3.553044093519708E-5</v>
      </c>
      <c r="S1058" s="3">
        <f t="shared" si="92"/>
        <v>0.23009612252490244</v>
      </c>
      <c r="T1058" s="20">
        <f t="shared" si="93"/>
        <v>0.14212176374078833</v>
      </c>
      <c r="U1058" s="20"/>
    </row>
    <row r="1059" spans="15:21" x14ac:dyDescent="0.35">
      <c r="O1059" s="18">
        <v>5</v>
      </c>
      <c r="P1059" s="18">
        <f t="shared" si="91"/>
        <v>5285</v>
      </c>
      <c r="Q1059" s="3">
        <f t="shared" si="94"/>
        <v>7.0925034082404463E-6</v>
      </c>
      <c r="R1059" s="3">
        <f t="shared" si="90"/>
        <v>3.5462517041202232E-5</v>
      </c>
      <c r="S1059" s="3">
        <f t="shared" si="92"/>
        <v>0.23013165296583765</v>
      </c>
      <c r="T1059" s="20">
        <f t="shared" si="93"/>
        <v>0.14185006816480891</v>
      </c>
      <c r="U1059" s="20"/>
    </row>
    <row r="1060" spans="15:21" x14ac:dyDescent="0.35">
      <c r="O1060" s="18">
        <v>5</v>
      </c>
      <c r="P1060" s="18">
        <f t="shared" si="91"/>
        <v>5290</v>
      </c>
      <c r="Q1060" s="3">
        <f t="shared" si="94"/>
        <v>7.078948035331837E-6</v>
      </c>
      <c r="R1060" s="3">
        <f t="shared" si="90"/>
        <v>3.5394740176659188E-5</v>
      </c>
      <c r="S1060" s="3">
        <f t="shared" si="92"/>
        <v>0.23016711548287885</v>
      </c>
      <c r="T1060" s="20">
        <f t="shared" si="93"/>
        <v>0.14157896070663675</v>
      </c>
      <c r="U1060" s="20"/>
    </row>
    <row r="1061" spans="15:21" x14ac:dyDescent="0.35">
      <c r="O1061" s="18">
        <v>5</v>
      </c>
      <c r="P1061" s="18">
        <f t="shared" si="91"/>
        <v>5295</v>
      </c>
      <c r="Q1061" s="3">
        <f t="shared" si="94"/>
        <v>7.0654219911108774E-6</v>
      </c>
      <c r="R1061" s="3">
        <f t="shared" si="90"/>
        <v>3.5327109955554389E-5</v>
      </c>
      <c r="S1061" s="3">
        <f t="shared" si="92"/>
        <v>0.23020251022305552</v>
      </c>
      <c r="T1061" s="20">
        <f t="shared" si="93"/>
        <v>0.14130843982221755</v>
      </c>
      <c r="U1061" s="20"/>
    </row>
    <row r="1062" spans="15:21" x14ac:dyDescent="0.35">
      <c r="O1062" s="18">
        <v>5</v>
      </c>
      <c r="P1062" s="18">
        <f t="shared" si="91"/>
        <v>5300</v>
      </c>
      <c r="Q1062" s="3">
        <f t="shared" si="94"/>
        <v>7.0519251986323418E-6</v>
      </c>
      <c r="R1062" s="3">
        <f t="shared" si="90"/>
        <v>3.5259625993161708E-5</v>
      </c>
      <c r="S1062" s="3">
        <f t="shared" si="92"/>
        <v>0.23023783733301106</v>
      </c>
      <c r="T1062" s="20">
        <f t="shared" si="93"/>
        <v>0.14103850397264683</v>
      </c>
      <c r="U1062" s="20"/>
    </row>
    <row r="1063" spans="15:21" x14ac:dyDescent="0.35">
      <c r="O1063" s="18">
        <v>5</v>
      </c>
      <c r="P1063" s="18">
        <f t="shared" si="91"/>
        <v>5305</v>
      </c>
      <c r="Q1063" s="3">
        <f t="shared" si="94"/>
        <v>7.0384575812073873E-6</v>
      </c>
      <c r="R1063" s="3">
        <f t="shared" si="90"/>
        <v>3.519228790603694E-5</v>
      </c>
      <c r="S1063" s="3">
        <f t="shared" si="92"/>
        <v>0.23027309695900422</v>
      </c>
      <c r="T1063" s="20">
        <f t="shared" si="93"/>
        <v>0.14076915162414774</v>
      </c>
      <c r="U1063" s="20"/>
    </row>
    <row r="1064" spans="15:21" x14ac:dyDescent="0.35">
      <c r="O1064" s="18">
        <v>5</v>
      </c>
      <c r="P1064" s="18">
        <f t="shared" si="91"/>
        <v>5310</v>
      </c>
      <c r="Q1064" s="3">
        <f t="shared" si="94"/>
        <v>7.0250190624024757E-6</v>
      </c>
      <c r="R1064" s="3">
        <f t="shared" si="90"/>
        <v>3.5125095312012379E-5</v>
      </c>
      <c r="S1064" s="3">
        <f t="shared" si="92"/>
        <v>0.23030828924691027</v>
      </c>
      <c r="T1064" s="20">
        <f t="shared" si="93"/>
        <v>0.14050038124804953</v>
      </c>
      <c r="U1064" s="20"/>
    </row>
    <row r="1065" spans="15:21" x14ac:dyDescent="0.35">
      <c r="O1065" s="18">
        <v>5</v>
      </c>
      <c r="P1065" s="18">
        <f t="shared" si="91"/>
        <v>5315</v>
      </c>
      <c r="Q1065" s="3">
        <f t="shared" si="94"/>
        <v>7.0116095660383241E-6</v>
      </c>
      <c r="R1065" s="3">
        <f t="shared" si="90"/>
        <v>3.5058047830191619E-5</v>
      </c>
      <c r="S1065" s="3">
        <f t="shared" si="92"/>
        <v>0.23034341434222227</v>
      </c>
      <c r="T1065" s="20">
        <f t="shared" si="93"/>
        <v>0.14023219132076647</v>
      </c>
      <c r="U1065" s="20"/>
    </row>
    <row r="1066" spans="15:21" x14ac:dyDescent="0.35">
      <c r="O1066" s="18">
        <v>5</v>
      </c>
      <c r="P1066" s="18">
        <f t="shared" si="91"/>
        <v>5320</v>
      </c>
      <c r="Q1066" s="3">
        <f t="shared" si="94"/>
        <v>6.9982290161887871E-6</v>
      </c>
      <c r="R1066" s="3">
        <f t="shared" si="90"/>
        <v>3.4991145080943933E-5</v>
      </c>
      <c r="S1066" s="3">
        <f t="shared" si="92"/>
        <v>0.23037847239005246</v>
      </c>
      <c r="T1066" s="20">
        <f t="shared" si="93"/>
        <v>0.13996458032377573</v>
      </c>
      <c r="U1066" s="20"/>
    </row>
    <row r="1067" spans="15:21" x14ac:dyDescent="0.35">
      <c r="O1067" s="18">
        <v>5</v>
      </c>
      <c r="P1067" s="18">
        <f t="shared" si="91"/>
        <v>5325</v>
      </c>
      <c r="Q1067" s="3">
        <f t="shared" si="94"/>
        <v>6.9848773371798413E-6</v>
      </c>
      <c r="R1067" s="3">
        <f t="shared" si="90"/>
        <v>3.4924386685899209E-5</v>
      </c>
      <c r="S1067" s="3">
        <f t="shared" si="92"/>
        <v>0.23041346353513339</v>
      </c>
      <c r="T1067" s="20">
        <f t="shared" si="93"/>
        <v>0.13969754674359683</v>
      </c>
      <c r="U1067" s="20"/>
    </row>
    <row r="1068" spans="15:21" x14ac:dyDescent="0.35">
      <c r="O1068" s="18">
        <v>5</v>
      </c>
      <c r="P1068" s="18">
        <f t="shared" si="91"/>
        <v>5330</v>
      </c>
      <c r="Q1068" s="3">
        <f t="shared" si="94"/>
        <v>6.9715544535884814E-6</v>
      </c>
      <c r="R1068" s="3">
        <f t="shared" si="90"/>
        <v>3.4857772267942407E-5</v>
      </c>
      <c r="S1068" s="3">
        <f t="shared" si="92"/>
        <v>0.23044838792181929</v>
      </c>
      <c r="T1068" s="20">
        <f t="shared" si="93"/>
        <v>0.13943108907176963</v>
      </c>
      <c r="U1068" s="20"/>
    </row>
    <row r="1069" spans="15:21" x14ac:dyDescent="0.35">
      <c r="O1069" s="18">
        <v>5</v>
      </c>
      <c r="P1069" s="18">
        <f t="shared" si="91"/>
        <v>5335</v>
      </c>
      <c r="Q1069" s="3">
        <f t="shared" si="94"/>
        <v>6.9582602902417056E-6</v>
      </c>
      <c r="R1069" s="3">
        <f t="shared" si="90"/>
        <v>3.4791301451208531E-5</v>
      </c>
      <c r="S1069" s="3">
        <f t="shared" si="92"/>
        <v>0.23048324569408724</v>
      </c>
      <c r="T1069" s="20">
        <f t="shared" si="93"/>
        <v>0.1391652058048341</v>
      </c>
      <c r="U1069" s="20"/>
    </row>
    <row r="1070" spans="15:21" x14ac:dyDescent="0.35">
      <c r="O1070" s="18">
        <v>5</v>
      </c>
      <c r="P1070" s="18">
        <f t="shared" si="91"/>
        <v>5340</v>
      </c>
      <c r="Q1070" s="3">
        <f t="shared" si="94"/>
        <v>6.9449947722154501E-6</v>
      </c>
      <c r="R1070" s="3">
        <f t="shared" si="90"/>
        <v>3.4724973861077251E-5</v>
      </c>
      <c r="S1070" s="3">
        <f t="shared" si="92"/>
        <v>0.23051803699553844</v>
      </c>
      <c r="T1070" s="20">
        <f t="shared" si="93"/>
        <v>0.138899895444309</v>
      </c>
      <c r="U1070" s="20"/>
    </row>
    <row r="1071" spans="15:21" x14ac:dyDescent="0.35">
      <c r="O1071" s="18">
        <v>5</v>
      </c>
      <c r="P1071" s="18">
        <f t="shared" si="91"/>
        <v>5345</v>
      </c>
      <c r="Q1071" s="3">
        <f t="shared" si="94"/>
        <v>6.9317578248335361E-6</v>
      </c>
      <c r="R1071" s="3">
        <f t="shared" si="90"/>
        <v>3.4658789124167682E-5</v>
      </c>
      <c r="S1071" s="3">
        <f t="shared" si="92"/>
        <v>0.23055276196939953</v>
      </c>
      <c r="T1071" s="20">
        <f t="shared" si="93"/>
        <v>0.13863515649667071</v>
      </c>
      <c r="U1071" s="20"/>
    </row>
    <row r="1072" spans="15:21" x14ac:dyDescent="0.35">
      <c r="O1072" s="18">
        <v>5</v>
      </c>
      <c r="P1072" s="18">
        <f t="shared" si="91"/>
        <v>5350</v>
      </c>
      <c r="Q1072" s="3">
        <f t="shared" si="94"/>
        <v>6.91854937366666E-6</v>
      </c>
      <c r="R1072" s="3">
        <f t="shared" si="90"/>
        <v>3.4592746868333303E-5</v>
      </c>
      <c r="S1072" s="3">
        <f t="shared" si="92"/>
        <v>0.2305874207585237</v>
      </c>
      <c r="T1072" s="20">
        <f t="shared" si="93"/>
        <v>0.13837098747333321</v>
      </c>
      <c r="U1072" s="20"/>
    </row>
    <row r="1073" spans="15:21" x14ac:dyDescent="0.35">
      <c r="O1073" s="18">
        <v>5</v>
      </c>
      <c r="P1073" s="18">
        <f t="shared" si="91"/>
        <v>5355</v>
      </c>
      <c r="Q1073" s="3">
        <f t="shared" si="94"/>
        <v>6.9053693445313384E-6</v>
      </c>
      <c r="R1073" s="3">
        <f t="shared" si="90"/>
        <v>3.4526846722656691E-5</v>
      </c>
      <c r="S1073" s="3">
        <f t="shared" si="92"/>
        <v>0.23062201350539205</v>
      </c>
      <c r="T1073" s="20">
        <f t="shared" si="93"/>
        <v>0.13810738689062677</v>
      </c>
      <c r="U1073" s="20"/>
    </row>
    <row r="1074" spans="15:21" x14ac:dyDescent="0.35">
      <c r="O1074" s="18">
        <v>5</v>
      </c>
      <c r="P1074" s="18">
        <f t="shared" si="91"/>
        <v>5360</v>
      </c>
      <c r="Q1074" s="3">
        <f t="shared" si="94"/>
        <v>6.8922176634888973E-6</v>
      </c>
      <c r="R1074" s="3">
        <f t="shared" si="90"/>
        <v>3.4461088317444484E-5</v>
      </c>
      <c r="S1074" s="3">
        <f t="shared" si="92"/>
        <v>0.23065654035211469</v>
      </c>
      <c r="T1074" s="20">
        <f t="shared" si="93"/>
        <v>0.13784435326977795</v>
      </c>
      <c r="U1074" s="20"/>
    </row>
    <row r="1075" spans="15:21" x14ac:dyDescent="0.35">
      <c r="O1075" s="18">
        <v>5</v>
      </c>
      <c r="P1075" s="18">
        <f t="shared" si="91"/>
        <v>5365</v>
      </c>
      <c r="Q1075" s="3">
        <f t="shared" si="94"/>
        <v>6.8790942568444159E-6</v>
      </c>
      <c r="R1075" s="3">
        <f t="shared" si="90"/>
        <v>3.4395471284222082E-5</v>
      </c>
      <c r="S1075" s="3">
        <f t="shared" si="92"/>
        <v>0.23069100144043214</v>
      </c>
      <c r="T1075" s="20">
        <f t="shared" si="93"/>
        <v>0.13758188513688832</v>
      </c>
      <c r="U1075" s="20"/>
    </row>
    <row r="1076" spans="15:21" x14ac:dyDescent="0.35">
      <c r="O1076" s="18">
        <v>5</v>
      </c>
      <c r="P1076" s="18">
        <f t="shared" si="91"/>
        <v>5370</v>
      </c>
      <c r="Q1076" s="3">
        <f t="shared" si="94"/>
        <v>6.8659990511457609E-6</v>
      </c>
      <c r="R1076" s="3">
        <f t="shared" si="90"/>
        <v>3.4329995255728806E-5</v>
      </c>
      <c r="S1076" s="3">
        <f t="shared" si="92"/>
        <v>0.23072539691171637</v>
      </c>
      <c r="T1076" s="20">
        <f t="shared" si="93"/>
        <v>0.13731998102291521</v>
      </c>
      <c r="U1076" s="20"/>
    </row>
    <row r="1077" spans="15:21" x14ac:dyDescent="0.35">
      <c r="O1077" s="18">
        <v>5</v>
      </c>
      <c r="P1077" s="18">
        <f t="shared" si="91"/>
        <v>5375</v>
      </c>
      <c r="Q1077" s="3">
        <f t="shared" si="94"/>
        <v>6.8529319731825414E-6</v>
      </c>
      <c r="R1077" s="3">
        <f t="shared" si="90"/>
        <v>3.4264659865912707E-5</v>
      </c>
      <c r="S1077" s="3">
        <f t="shared" si="92"/>
        <v>0.23075972690697211</v>
      </c>
      <c r="T1077" s="20">
        <f t="shared" si="93"/>
        <v>0.13705863946365085</v>
      </c>
      <c r="U1077" s="20"/>
    </row>
    <row r="1078" spans="15:21" x14ac:dyDescent="0.35">
      <c r="O1078" s="18">
        <v>5</v>
      </c>
      <c r="P1078" s="18">
        <f t="shared" si="91"/>
        <v>5380</v>
      </c>
      <c r="Q1078" s="3">
        <f t="shared" si="94"/>
        <v>6.839892949985118E-6</v>
      </c>
      <c r="R1078" s="3">
        <f t="shared" si="90"/>
        <v>3.4199464749925592E-5</v>
      </c>
      <c r="S1078" s="3">
        <f t="shared" si="92"/>
        <v>0.23079399156683802</v>
      </c>
      <c r="T1078" s="20">
        <f t="shared" si="93"/>
        <v>0.13679785899970234</v>
      </c>
      <c r="U1078" s="20"/>
    </row>
    <row r="1079" spans="15:21" x14ac:dyDescent="0.35">
      <c r="O1079" s="18">
        <v>5</v>
      </c>
      <c r="P1079" s="18">
        <f t="shared" si="91"/>
        <v>5385</v>
      </c>
      <c r="Q1079" s="3">
        <f t="shared" si="94"/>
        <v>6.8268819088235945E-6</v>
      </c>
      <c r="R1079" s="3">
        <f t="shared" si="90"/>
        <v>3.4134409544117974E-5</v>
      </c>
      <c r="S1079" s="3">
        <f t="shared" si="92"/>
        <v>0.23082819103158794</v>
      </c>
      <c r="T1079" s="20">
        <f t="shared" si="93"/>
        <v>0.13653763817647188</v>
      </c>
      <c r="U1079" s="20"/>
    </row>
    <row r="1080" spans="15:21" x14ac:dyDescent="0.35">
      <c r="O1080" s="18">
        <v>5</v>
      </c>
      <c r="P1080" s="18">
        <f t="shared" si="91"/>
        <v>5390</v>
      </c>
      <c r="Q1080" s="3">
        <f t="shared" si="94"/>
        <v>6.8138987772068177E-6</v>
      </c>
      <c r="R1080" s="3">
        <f t="shared" si="90"/>
        <v>3.4069493886034089E-5</v>
      </c>
      <c r="S1080" s="3">
        <f t="shared" si="92"/>
        <v>0.23086232544113205</v>
      </c>
      <c r="T1080" s="20">
        <f t="shared" si="93"/>
        <v>0.13627797554413637</v>
      </c>
      <c r="U1080" s="20"/>
    </row>
    <row r="1081" spans="15:21" x14ac:dyDescent="0.35">
      <c r="O1081" s="18">
        <v>5</v>
      </c>
      <c r="P1081" s="18">
        <f t="shared" si="91"/>
        <v>5395</v>
      </c>
      <c r="Q1081" s="3">
        <f t="shared" si="94"/>
        <v>6.8009434828813924E-6</v>
      </c>
      <c r="R1081" s="3">
        <f t="shared" si="90"/>
        <v>3.4004717414406963E-5</v>
      </c>
      <c r="S1081" s="3">
        <f t="shared" si="92"/>
        <v>0.2308963949350181</v>
      </c>
      <c r="T1081" s="20">
        <f t="shared" si="93"/>
        <v>0.13601886965762786</v>
      </c>
      <c r="U1081" s="20"/>
    </row>
    <row r="1082" spans="15:21" x14ac:dyDescent="0.35">
      <c r="O1082" s="18">
        <v>5</v>
      </c>
      <c r="P1082" s="18">
        <f t="shared" si="91"/>
        <v>5400</v>
      </c>
      <c r="Q1082" s="3">
        <f t="shared" si="94"/>
        <v>6.7880159538307053E-6</v>
      </c>
      <c r="R1082" s="3">
        <f t="shared" si="90"/>
        <v>3.3940079769153526E-5</v>
      </c>
      <c r="S1082" s="3">
        <f t="shared" si="92"/>
        <v>0.23093039965243251</v>
      </c>
      <c r="T1082" s="20">
        <f t="shared" si="93"/>
        <v>0.13576031907661412</v>
      </c>
      <c r="U1082" s="20"/>
    </row>
    <row r="1083" spans="15:21" x14ac:dyDescent="0.35">
      <c r="O1083" s="18">
        <v>5</v>
      </c>
      <c r="P1083" s="18">
        <f t="shared" si="91"/>
        <v>5405</v>
      </c>
      <c r="Q1083" s="3">
        <f t="shared" si="94"/>
        <v>6.7751161182739355E-6</v>
      </c>
      <c r="R1083" s="3">
        <f t="shared" si="90"/>
        <v>3.3875580591369676E-5</v>
      </c>
      <c r="S1083" s="3">
        <f t="shared" si="92"/>
        <v>0.23096433973220165</v>
      </c>
      <c r="T1083" s="20">
        <f t="shared" si="93"/>
        <v>0.13550232236547871</v>
      </c>
      <c r="U1083" s="20"/>
    </row>
    <row r="1084" spans="15:21" x14ac:dyDescent="0.35">
      <c r="O1084" s="18">
        <v>5</v>
      </c>
      <c r="P1084" s="18">
        <f t="shared" si="91"/>
        <v>5410</v>
      </c>
      <c r="Q1084" s="3">
        <f t="shared" si="94"/>
        <v>6.762243904665066E-6</v>
      </c>
      <c r="R1084" s="3">
        <f t="shared" si="90"/>
        <v>3.3811219523325332E-5</v>
      </c>
      <c r="S1084" s="3">
        <f t="shared" si="92"/>
        <v>0.23099821531279302</v>
      </c>
      <c r="T1084" s="20">
        <f t="shared" si="93"/>
        <v>0.13524487809330132</v>
      </c>
      <c r="U1084" s="20"/>
    </row>
    <row r="1085" spans="15:21" x14ac:dyDescent="0.35">
      <c r="O1085" s="18">
        <v>5</v>
      </c>
      <c r="P1085" s="18">
        <f t="shared" si="91"/>
        <v>5415</v>
      </c>
      <c r="Q1085" s="3">
        <f t="shared" si="94"/>
        <v>6.7493992416919304E-6</v>
      </c>
      <c r="R1085" s="3">
        <f t="shared" si="90"/>
        <v>3.374699620845965E-5</v>
      </c>
      <c r="S1085" s="3">
        <f t="shared" si="92"/>
        <v>0.23103202653231636</v>
      </c>
      <c r="T1085" s="20">
        <f t="shared" si="93"/>
        <v>0.13498798483383861</v>
      </c>
      <c r="U1085" s="20"/>
    </row>
    <row r="1086" spans="15:21" x14ac:dyDescent="0.35">
      <c r="O1086" s="18">
        <v>5</v>
      </c>
      <c r="P1086" s="18">
        <f t="shared" si="91"/>
        <v>5420</v>
      </c>
      <c r="Q1086" s="3">
        <f t="shared" si="94"/>
        <v>6.7365820582752602E-6</v>
      </c>
      <c r="R1086" s="3">
        <f t="shared" si="90"/>
        <v>3.3682910291376301E-5</v>
      </c>
      <c r="S1086" s="3">
        <f t="shared" si="92"/>
        <v>0.23106577352852481</v>
      </c>
      <c r="T1086" s="20">
        <f t="shared" si="93"/>
        <v>0.13473164116550521</v>
      </c>
      <c r="U1086" s="20"/>
    </row>
    <row r="1087" spans="15:21" x14ac:dyDescent="0.35">
      <c r="O1087" s="18">
        <v>5</v>
      </c>
      <c r="P1087" s="18">
        <f t="shared" si="91"/>
        <v>5425</v>
      </c>
      <c r="Q1087" s="3">
        <f t="shared" si="94"/>
        <v>6.7237922835676738E-6</v>
      </c>
      <c r="R1087" s="3">
        <f t="shared" si="90"/>
        <v>3.3618961417838369E-5</v>
      </c>
      <c r="S1087" s="3">
        <f t="shared" si="92"/>
        <v>0.23109945643881619</v>
      </c>
      <c r="T1087" s="20">
        <f t="shared" si="93"/>
        <v>0.13447584567135348</v>
      </c>
      <c r="U1087" s="20"/>
    </row>
    <row r="1088" spans="15:21" x14ac:dyDescent="0.35">
      <c r="O1088" s="18">
        <v>5</v>
      </c>
      <c r="P1088" s="18">
        <f t="shared" si="91"/>
        <v>5430</v>
      </c>
      <c r="Q1088" s="3">
        <f t="shared" si="94"/>
        <v>6.711029846952773E-6</v>
      </c>
      <c r="R1088" s="3">
        <f t="shared" si="90"/>
        <v>3.3555149234763862E-5</v>
      </c>
      <c r="S1088" s="3">
        <f t="shared" si="92"/>
        <v>0.23113307540023403</v>
      </c>
      <c r="T1088" s="20">
        <f t="shared" si="93"/>
        <v>0.13422059693905544</v>
      </c>
      <c r="U1088" s="20"/>
    </row>
    <row r="1089" spans="15:21" x14ac:dyDescent="0.35">
      <c r="O1089" s="18">
        <v>5</v>
      </c>
      <c r="P1089" s="18">
        <f t="shared" si="91"/>
        <v>5435</v>
      </c>
      <c r="Q1089" s="3">
        <f t="shared" si="94"/>
        <v>6.6982946780441747E-6</v>
      </c>
      <c r="R1089" s="3">
        <f t="shared" si="90"/>
        <v>3.3491473390220871E-5</v>
      </c>
      <c r="S1089" s="3">
        <f t="shared" si="92"/>
        <v>0.23116663054946879</v>
      </c>
      <c r="T1089" s="20">
        <f t="shared" si="93"/>
        <v>0.13396589356088351</v>
      </c>
      <c r="U1089" s="20"/>
    </row>
    <row r="1090" spans="15:21" x14ac:dyDescent="0.35">
      <c r="O1090" s="18">
        <v>5</v>
      </c>
      <c r="P1090" s="18">
        <f t="shared" si="91"/>
        <v>5440</v>
      </c>
      <c r="Q1090" s="3">
        <f t="shared" si="94"/>
        <v>6.6855867066845448E-6</v>
      </c>
      <c r="R1090" s="3">
        <f t="shared" ref="R1090:R1153" si="95">Q1090*O1090</f>
        <v>3.3427933533422721E-5</v>
      </c>
      <c r="S1090" s="3">
        <f t="shared" si="92"/>
        <v>0.231200122022859</v>
      </c>
      <c r="T1090" s="20">
        <f t="shared" si="93"/>
        <v>0.13371173413369092</v>
      </c>
      <c r="U1090" s="20"/>
    </row>
    <row r="1091" spans="15:21" x14ac:dyDescent="0.35">
      <c r="O1091" s="18">
        <v>5</v>
      </c>
      <c r="P1091" s="18">
        <f t="shared" ref="P1091:P1154" si="96">O1091+P1090</f>
        <v>5445</v>
      </c>
      <c r="Q1091" s="3">
        <f t="shared" si="94"/>
        <v>6.6729058629446793E-6</v>
      </c>
      <c r="R1091" s="3">
        <f t="shared" si="95"/>
        <v>3.3364529314723394E-5</v>
      </c>
      <c r="S1091" s="3">
        <f t="shared" ref="S1091:S1154" si="97">S1090+R1090</f>
        <v>0.23123354995639242</v>
      </c>
      <c r="T1091" s="20">
        <f t="shared" ref="T1091:T1154" si="98">Q1091*$B$9*$B$2*0.5/$B$11</f>
        <v>0.13345811725889359</v>
      </c>
      <c r="U1091" s="20"/>
    </row>
    <row r="1092" spans="15:21" x14ac:dyDescent="0.35">
      <c r="O1092" s="18">
        <v>5</v>
      </c>
      <c r="P1092" s="18">
        <f t="shared" si="96"/>
        <v>5450</v>
      </c>
      <c r="Q1092" s="3">
        <f t="shared" ref="Q1092:Q1155" si="99">$T$2*(1-(S1092/$B$12))/($B$9*((0.5*$B$2/$B$11)+(S1092/$B$10)))</f>
        <v>6.6602520771225624E-6</v>
      </c>
      <c r="R1092" s="3">
        <f t="shared" si="95"/>
        <v>3.3301260385612809E-5</v>
      </c>
      <c r="S1092" s="3">
        <f t="shared" si="97"/>
        <v>0.23126691448570713</v>
      </c>
      <c r="T1092" s="20">
        <f t="shared" si="98"/>
        <v>0.13320504154245125</v>
      </c>
      <c r="U1092" s="20"/>
    </row>
    <row r="1093" spans="15:21" x14ac:dyDescent="0.35">
      <c r="O1093" s="18">
        <v>5</v>
      </c>
      <c r="P1093" s="18">
        <f t="shared" si="96"/>
        <v>5455</v>
      </c>
      <c r="Q1093" s="3">
        <f t="shared" si="99"/>
        <v>6.647625279742424E-6</v>
      </c>
      <c r="R1093" s="3">
        <f t="shared" si="95"/>
        <v>3.3238126398712117E-5</v>
      </c>
      <c r="S1093" s="3">
        <f t="shared" si="97"/>
        <v>0.23130021574609275</v>
      </c>
      <c r="T1093" s="20">
        <f t="shared" si="98"/>
        <v>0.1329525055948485</v>
      </c>
      <c r="U1093" s="20"/>
    </row>
    <row r="1094" spans="15:21" x14ac:dyDescent="0.35">
      <c r="O1094" s="18">
        <v>5</v>
      </c>
      <c r="P1094" s="18">
        <f t="shared" si="96"/>
        <v>5460</v>
      </c>
      <c r="Q1094" s="3">
        <f t="shared" si="99"/>
        <v>6.6350254015538242E-6</v>
      </c>
      <c r="R1094" s="3">
        <f t="shared" si="95"/>
        <v>3.3175127007769122E-5</v>
      </c>
      <c r="S1094" s="3">
        <f t="shared" si="97"/>
        <v>0.23133345387249146</v>
      </c>
      <c r="T1094" s="20">
        <f t="shared" si="98"/>
        <v>0.13270050803107647</v>
      </c>
      <c r="U1094" s="20"/>
    </row>
    <row r="1095" spans="15:21" x14ac:dyDescent="0.35">
      <c r="O1095" s="18">
        <v>5</v>
      </c>
      <c r="P1095" s="18">
        <f t="shared" si="96"/>
        <v>5465</v>
      </c>
      <c r="Q1095" s="3">
        <f t="shared" si="99"/>
        <v>6.6224523735307369E-6</v>
      </c>
      <c r="R1095" s="3">
        <f t="shared" si="95"/>
        <v>3.3112261867653685E-5</v>
      </c>
      <c r="S1095" s="3">
        <f t="shared" si="97"/>
        <v>0.23136662899949922</v>
      </c>
      <c r="T1095" s="20">
        <f t="shared" si="98"/>
        <v>0.13244904747061473</v>
      </c>
      <c r="U1095" s="20"/>
    </row>
    <row r="1096" spans="15:21" x14ac:dyDescent="0.35">
      <c r="O1096" s="18">
        <v>5</v>
      </c>
      <c r="P1096" s="18">
        <f t="shared" si="96"/>
        <v>5470</v>
      </c>
      <c r="Q1096" s="3">
        <f t="shared" si="99"/>
        <v>6.6099061268706063E-6</v>
      </c>
      <c r="R1096" s="3">
        <f t="shared" si="95"/>
        <v>3.3049530634353028E-5</v>
      </c>
      <c r="S1096" s="3">
        <f t="shared" si="97"/>
        <v>0.23139974126136686</v>
      </c>
      <c r="T1096" s="20">
        <f t="shared" si="98"/>
        <v>0.13219812253741212</v>
      </c>
      <c r="U1096" s="20"/>
    </row>
    <row r="1097" spans="15:21" x14ac:dyDescent="0.35">
      <c r="O1097" s="18">
        <v>5</v>
      </c>
      <c r="P1097" s="18">
        <f t="shared" si="96"/>
        <v>5475</v>
      </c>
      <c r="Q1097" s="3">
        <f t="shared" si="99"/>
        <v>6.597386592993442E-6</v>
      </c>
      <c r="R1097" s="3">
        <f t="shared" si="95"/>
        <v>3.298693296496721E-5</v>
      </c>
      <c r="S1097" s="3">
        <f t="shared" si="97"/>
        <v>0.23143279079200121</v>
      </c>
      <c r="T1097" s="20">
        <f t="shared" si="98"/>
        <v>0.13194773185986886</v>
      </c>
      <c r="U1097" s="20"/>
    </row>
    <row r="1098" spans="15:21" x14ac:dyDescent="0.35">
      <c r="O1098" s="18">
        <v>5</v>
      </c>
      <c r="P1098" s="18">
        <f t="shared" si="96"/>
        <v>5480</v>
      </c>
      <c r="Q1098" s="3">
        <f t="shared" si="99"/>
        <v>6.5848937035409288E-6</v>
      </c>
      <c r="R1098" s="3">
        <f t="shared" si="95"/>
        <v>3.2924468517704646E-5</v>
      </c>
      <c r="S1098" s="3">
        <f t="shared" si="97"/>
        <v>0.23146577772496618</v>
      </c>
      <c r="T1098" s="20">
        <f t="shared" si="98"/>
        <v>0.13169787407081857</v>
      </c>
      <c r="U1098" s="20"/>
    </row>
    <row r="1099" spans="15:21" x14ac:dyDescent="0.35">
      <c r="O1099" s="18">
        <v>5</v>
      </c>
      <c r="P1099" s="18">
        <f t="shared" si="96"/>
        <v>5485</v>
      </c>
      <c r="Q1099" s="3">
        <f t="shared" si="99"/>
        <v>6.5724273903754969E-6</v>
      </c>
      <c r="R1099" s="3">
        <f t="shared" si="95"/>
        <v>3.2862136951877483E-5</v>
      </c>
      <c r="S1099" s="3">
        <f t="shared" si="97"/>
        <v>0.2314987021934839</v>
      </c>
      <c r="T1099" s="20">
        <f t="shared" si="98"/>
        <v>0.13144854780750995</v>
      </c>
      <c r="U1099" s="20"/>
    </row>
    <row r="1100" spans="15:21" x14ac:dyDescent="0.35">
      <c r="O1100" s="18">
        <v>5</v>
      </c>
      <c r="P1100" s="18">
        <f t="shared" si="96"/>
        <v>5490</v>
      </c>
      <c r="Q1100" s="3">
        <f t="shared" si="99"/>
        <v>6.559987585579446E-6</v>
      </c>
      <c r="R1100" s="3">
        <f t="shared" si="95"/>
        <v>3.279993792789723E-5</v>
      </c>
      <c r="S1100" s="3">
        <f t="shared" si="97"/>
        <v>0.23153156433043579</v>
      </c>
      <c r="T1100" s="20">
        <f t="shared" si="98"/>
        <v>0.1311997517115889</v>
      </c>
      <c r="U1100" s="20"/>
    </row>
    <row r="1101" spans="15:21" x14ac:dyDescent="0.35">
      <c r="O1101" s="18">
        <v>5</v>
      </c>
      <c r="P1101" s="18">
        <f t="shared" si="96"/>
        <v>5495</v>
      </c>
      <c r="Q1101" s="3">
        <f t="shared" si="99"/>
        <v>6.5475742214540276E-6</v>
      </c>
      <c r="R1101" s="3">
        <f t="shared" si="95"/>
        <v>3.2737871107270141E-5</v>
      </c>
      <c r="S1101" s="3">
        <f t="shared" si="97"/>
        <v>0.23156436426836369</v>
      </c>
      <c r="T1101" s="20">
        <f t="shared" si="98"/>
        <v>0.13095148442908056</v>
      </c>
      <c r="U1101" s="20"/>
    </row>
    <row r="1102" spans="15:21" x14ac:dyDescent="0.35">
      <c r="O1102" s="18">
        <v>5</v>
      </c>
      <c r="P1102" s="18">
        <f t="shared" si="96"/>
        <v>5500</v>
      </c>
      <c r="Q1102" s="3">
        <f t="shared" si="99"/>
        <v>6.5351872305185631E-6</v>
      </c>
      <c r="R1102" s="3">
        <f t="shared" si="95"/>
        <v>3.2675936152592818E-5</v>
      </c>
      <c r="S1102" s="3">
        <f t="shared" si="97"/>
        <v>0.23159710213947096</v>
      </c>
      <c r="T1102" s="20">
        <f t="shared" si="98"/>
        <v>0.13070374461037126</v>
      </c>
      <c r="U1102" s="20"/>
    </row>
    <row r="1103" spans="15:21" x14ac:dyDescent="0.35">
      <c r="O1103" s="18">
        <v>5</v>
      </c>
      <c r="P1103" s="18">
        <f t="shared" si="96"/>
        <v>5505</v>
      </c>
      <c r="Q1103" s="3">
        <f t="shared" si="99"/>
        <v>6.522826545509562E-6</v>
      </c>
      <c r="R1103" s="3">
        <f t="shared" si="95"/>
        <v>3.2614132727547807E-5</v>
      </c>
      <c r="S1103" s="3">
        <f t="shared" si="97"/>
        <v>0.23162977807562354</v>
      </c>
      <c r="T1103" s="20">
        <f t="shared" si="98"/>
        <v>0.13045653091019124</v>
      </c>
      <c r="U1103" s="20"/>
    </row>
    <row r="1104" spans="15:21" x14ac:dyDescent="0.35">
      <c r="O1104" s="18">
        <v>5</v>
      </c>
      <c r="P1104" s="18">
        <f t="shared" si="96"/>
        <v>5510</v>
      </c>
      <c r="Q1104" s="3">
        <f t="shared" si="99"/>
        <v>6.5104920993798223E-6</v>
      </c>
      <c r="R1104" s="3">
        <f t="shared" si="95"/>
        <v>3.2552460496899113E-5</v>
      </c>
      <c r="S1104" s="3">
        <f t="shared" si="97"/>
        <v>0.23166239220835108</v>
      </c>
      <c r="T1104" s="20">
        <f t="shared" si="98"/>
        <v>0.13020984198759644</v>
      </c>
      <c r="U1104" s="20"/>
    </row>
    <row r="1105" spans="15:21" x14ac:dyDescent="0.35">
      <c r="O1105" s="18">
        <v>5</v>
      </c>
      <c r="P1105" s="18">
        <f t="shared" si="96"/>
        <v>5515</v>
      </c>
      <c r="Q1105" s="3">
        <f t="shared" si="99"/>
        <v>6.4981838252975601E-6</v>
      </c>
      <c r="R1105" s="3">
        <f t="shared" si="95"/>
        <v>3.2490919126487799E-5</v>
      </c>
      <c r="S1105" s="3">
        <f t="shared" si="97"/>
        <v>0.23169494466884799</v>
      </c>
      <c r="T1105" s="20">
        <f t="shared" si="98"/>
        <v>0.12996367650595123</v>
      </c>
      <c r="U1105" s="20"/>
    </row>
    <row r="1106" spans="15:21" x14ac:dyDescent="0.35">
      <c r="O1106" s="18">
        <v>5</v>
      </c>
      <c r="P1106" s="18">
        <f t="shared" si="96"/>
        <v>5520</v>
      </c>
      <c r="Q1106" s="3">
        <f t="shared" si="99"/>
        <v>6.4859016566455637E-6</v>
      </c>
      <c r="R1106" s="3">
        <f t="shared" si="95"/>
        <v>3.2429508283227821E-5</v>
      </c>
      <c r="S1106" s="3">
        <f t="shared" si="97"/>
        <v>0.23172743558797448</v>
      </c>
      <c r="T1106" s="20">
        <f t="shared" si="98"/>
        <v>0.12971803313291128</v>
      </c>
      <c r="U1106" s="20"/>
    </row>
    <row r="1107" spans="15:21" x14ac:dyDescent="0.35">
      <c r="O1107" s="18">
        <v>5</v>
      </c>
      <c r="P1107" s="18">
        <f t="shared" si="96"/>
        <v>5525</v>
      </c>
      <c r="Q1107" s="3">
        <f t="shared" si="99"/>
        <v>6.4736455270202863E-6</v>
      </c>
      <c r="R1107" s="3">
        <f t="shared" si="95"/>
        <v>3.2368227635101428E-5</v>
      </c>
      <c r="S1107" s="3">
        <f t="shared" si="97"/>
        <v>0.23175986509625771</v>
      </c>
      <c r="T1107" s="20">
        <f t="shared" si="98"/>
        <v>0.12947291054040572</v>
      </c>
      <c r="U1107" s="20"/>
    </row>
    <row r="1108" spans="15:21" x14ac:dyDescent="0.35">
      <c r="O1108" s="18">
        <v>5</v>
      </c>
      <c r="P1108" s="18">
        <f t="shared" si="96"/>
        <v>5530</v>
      </c>
      <c r="Q1108" s="3">
        <f t="shared" si="99"/>
        <v>6.4614153702309843E-6</v>
      </c>
      <c r="R1108" s="3">
        <f t="shared" si="95"/>
        <v>3.2307076851154923E-5</v>
      </c>
      <c r="S1108" s="3">
        <f t="shared" si="97"/>
        <v>0.23179223332389282</v>
      </c>
      <c r="T1108" s="20">
        <f t="shared" si="98"/>
        <v>0.12922830740461969</v>
      </c>
      <c r="U1108" s="20"/>
    </row>
    <row r="1109" spans="15:21" x14ac:dyDescent="0.35">
      <c r="O1109" s="18">
        <v>5</v>
      </c>
      <c r="P1109" s="18">
        <f t="shared" si="96"/>
        <v>5535</v>
      </c>
      <c r="Q1109" s="3">
        <f t="shared" si="99"/>
        <v>6.4492111202988922E-6</v>
      </c>
      <c r="R1109" s="3">
        <f t="shared" si="95"/>
        <v>3.224605560149446E-5</v>
      </c>
      <c r="S1109" s="3">
        <f t="shared" si="97"/>
        <v>0.23182454040074396</v>
      </c>
      <c r="T1109" s="20">
        <f t="shared" si="98"/>
        <v>0.12898422240597784</v>
      </c>
      <c r="U1109" s="20"/>
    </row>
    <row r="1110" spans="15:21" x14ac:dyDescent="0.35">
      <c r="O1110" s="18">
        <v>5</v>
      </c>
      <c r="P1110" s="18">
        <f t="shared" si="96"/>
        <v>5540</v>
      </c>
      <c r="Q1110" s="3">
        <f t="shared" si="99"/>
        <v>6.4370327114563196E-6</v>
      </c>
      <c r="R1110" s="3">
        <f t="shared" si="95"/>
        <v>3.2185163557281601E-5</v>
      </c>
      <c r="S1110" s="3">
        <f t="shared" si="97"/>
        <v>0.23185678645634544</v>
      </c>
      <c r="T1110" s="20">
        <f t="shared" si="98"/>
        <v>0.12874065422912639</v>
      </c>
      <c r="U1110" s="20"/>
    </row>
    <row r="1111" spans="15:21" x14ac:dyDescent="0.35">
      <c r="O1111" s="18">
        <v>5</v>
      </c>
      <c r="P1111" s="18">
        <f t="shared" si="96"/>
        <v>5545</v>
      </c>
      <c r="Q1111" s="3">
        <f t="shared" si="99"/>
        <v>6.4248800781458261E-6</v>
      </c>
      <c r="R1111" s="3">
        <f t="shared" si="95"/>
        <v>3.212440039072913E-5</v>
      </c>
      <c r="S1111" s="3">
        <f t="shared" si="97"/>
        <v>0.23188897161990271</v>
      </c>
      <c r="T1111" s="20">
        <f t="shared" si="98"/>
        <v>0.12849760156291654</v>
      </c>
      <c r="U1111" s="20"/>
    </row>
    <row r="1112" spans="15:21" x14ac:dyDescent="0.35">
      <c r="O1112" s="18">
        <v>5</v>
      </c>
      <c r="P1112" s="18">
        <f t="shared" si="96"/>
        <v>5550</v>
      </c>
      <c r="Q1112" s="3">
        <f t="shared" si="99"/>
        <v>6.4127531550193617E-6</v>
      </c>
      <c r="R1112" s="3">
        <f t="shared" si="95"/>
        <v>3.2063765775096811E-5</v>
      </c>
      <c r="S1112" s="3">
        <f t="shared" si="97"/>
        <v>0.23192109602029345</v>
      </c>
      <c r="T1112" s="20">
        <f t="shared" si="98"/>
        <v>0.12825506310038723</v>
      </c>
      <c r="U1112" s="20"/>
    </row>
    <row r="1113" spans="15:21" x14ac:dyDescent="0.35">
      <c r="O1113" s="18">
        <v>5</v>
      </c>
      <c r="P1113" s="18">
        <f t="shared" si="96"/>
        <v>5555</v>
      </c>
      <c r="Q1113" s="3">
        <f t="shared" si="99"/>
        <v>6.4006518769374409E-6</v>
      </c>
      <c r="R1113" s="3">
        <f t="shared" si="95"/>
        <v>3.2003259384687203E-5</v>
      </c>
      <c r="S1113" s="3">
        <f t="shared" si="97"/>
        <v>0.23195315978606856</v>
      </c>
      <c r="T1113" s="20">
        <f t="shared" si="98"/>
        <v>0.12801303753874882</v>
      </c>
      <c r="U1113" s="20"/>
    </row>
    <row r="1114" spans="15:21" x14ac:dyDescent="0.35">
      <c r="O1114" s="18">
        <v>5</v>
      </c>
      <c r="P1114" s="18">
        <f t="shared" si="96"/>
        <v>5560</v>
      </c>
      <c r="Q1114" s="3">
        <f t="shared" si="99"/>
        <v>6.3885761789682966E-6</v>
      </c>
      <c r="R1114" s="3">
        <f t="shared" si="95"/>
        <v>3.1942880894841486E-5</v>
      </c>
      <c r="S1114" s="3">
        <f t="shared" si="97"/>
        <v>0.23198516304545325</v>
      </c>
      <c r="T1114" s="20">
        <f t="shared" si="98"/>
        <v>0.12777152357936594</v>
      </c>
      <c r="U1114" s="20"/>
    </row>
    <row r="1115" spans="15:21" x14ac:dyDescent="0.35">
      <c r="O1115" s="18">
        <v>5</v>
      </c>
      <c r="P1115" s="18">
        <f t="shared" si="96"/>
        <v>5565</v>
      </c>
      <c r="Q1115" s="3">
        <f t="shared" si="99"/>
        <v>6.3765259963870175E-6</v>
      </c>
      <c r="R1115" s="3">
        <f t="shared" si="95"/>
        <v>3.1882629981935085E-5</v>
      </c>
      <c r="S1115" s="3">
        <f t="shared" si="97"/>
        <v>0.23201710592634808</v>
      </c>
      <c r="T1115" s="20">
        <f t="shared" si="98"/>
        <v>0.12753051992774034</v>
      </c>
      <c r="U1115" s="20"/>
    </row>
    <row r="1116" spans="15:21" x14ac:dyDescent="0.35">
      <c r="O1116" s="18">
        <v>5</v>
      </c>
      <c r="P1116" s="18">
        <f t="shared" si="96"/>
        <v>5570</v>
      </c>
      <c r="Q1116" s="3">
        <f t="shared" si="99"/>
        <v>6.3645012646747491E-6</v>
      </c>
      <c r="R1116" s="3">
        <f t="shared" si="95"/>
        <v>3.1822506323373746E-5</v>
      </c>
      <c r="S1116" s="3">
        <f t="shared" si="97"/>
        <v>0.23204898855633002</v>
      </c>
      <c r="T1116" s="20">
        <f t="shared" si="98"/>
        <v>0.12729002529349498</v>
      </c>
      <c r="U1116" s="20"/>
    </row>
    <row r="1117" spans="15:21" x14ac:dyDescent="0.35">
      <c r="O1117" s="18">
        <v>5</v>
      </c>
      <c r="P1117" s="18">
        <f t="shared" si="96"/>
        <v>5575</v>
      </c>
      <c r="Q1117" s="3">
        <f t="shared" si="99"/>
        <v>6.3525019195178493E-6</v>
      </c>
      <c r="R1117" s="3">
        <f t="shared" si="95"/>
        <v>3.176250959758925E-5</v>
      </c>
      <c r="S1117" s="3">
        <f t="shared" si="97"/>
        <v>0.23208081106265341</v>
      </c>
      <c r="T1117" s="20">
        <f t="shared" si="98"/>
        <v>0.127050038390357</v>
      </c>
      <c r="U1117" s="20"/>
    </row>
    <row r="1118" spans="15:21" x14ac:dyDescent="0.35">
      <c r="O1118" s="18">
        <v>5</v>
      </c>
      <c r="P1118" s="18">
        <f t="shared" si="96"/>
        <v>5580</v>
      </c>
      <c r="Q1118" s="3">
        <f t="shared" si="99"/>
        <v>6.3405278968070895E-6</v>
      </c>
      <c r="R1118" s="3">
        <f t="shared" si="95"/>
        <v>3.170263948403545E-5</v>
      </c>
      <c r="S1118" s="3">
        <f t="shared" si="97"/>
        <v>0.23211257357225099</v>
      </c>
      <c r="T1118" s="20">
        <f t="shared" si="98"/>
        <v>0.12681055793614179</v>
      </c>
      <c r="U1118" s="20"/>
    </row>
    <row r="1119" spans="15:21" x14ac:dyDescent="0.35">
      <c r="O1119" s="18">
        <v>5</v>
      </c>
      <c r="P1119" s="18">
        <f t="shared" si="96"/>
        <v>5585</v>
      </c>
      <c r="Q1119" s="3">
        <f t="shared" si="99"/>
        <v>6.3285791326367849E-6</v>
      </c>
      <c r="R1119" s="3">
        <f t="shared" si="95"/>
        <v>3.1642895663183926E-5</v>
      </c>
      <c r="S1119" s="3">
        <f t="shared" si="97"/>
        <v>0.23214427621173503</v>
      </c>
      <c r="T1119" s="20">
        <f t="shared" si="98"/>
        <v>0.12657158265273569</v>
      </c>
      <c r="U1119" s="20"/>
    </row>
    <row r="1120" spans="15:21" x14ac:dyDescent="0.35">
      <c r="O1120" s="18">
        <v>5</v>
      </c>
      <c r="P1120" s="18">
        <f t="shared" si="96"/>
        <v>5590</v>
      </c>
      <c r="Q1120" s="3">
        <f t="shared" si="99"/>
        <v>6.316655563304039E-6</v>
      </c>
      <c r="R1120" s="3">
        <f t="shared" si="95"/>
        <v>3.1583277816520195E-5</v>
      </c>
      <c r="S1120" s="3">
        <f t="shared" si="97"/>
        <v>0.23217591910739821</v>
      </c>
      <c r="T1120" s="20">
        <f t="shared" si="98"/>
        <v>0.12633311126608079</v>
      </c>
      <c r="U1120" s="20"/>
    </row>
    <row r="1121" spans="15:21" x14ac:dyDescent="0.35">
      <c r="O1121" s="18">
        <v>5</v>
      </c>
      <c r="P1121" s="18">
        <f t="shared" si="96"/>
        <v>5595</v>
      </c>
      <c r="Q1121" s="3">
        <f t="shared" si="99"/>
        <v>6.3047571253078876E-6</v>
      </c>
      <c r="R1121" s="3">
        <f t="shared" si="95"/>
        <v>3.1523785626539439E-5</v>
      </c>
      <c r="S1121" s="3">
        <f t="shared" si="97"/>
        <v>0.23220750238521473</v>
      </c>
      <c r="T1121" s="20">
        <f t="shared" si="98"/>
        <v>0.12609514250615775</v>
      </c>
      <c r="U1121" s="20"/>
    </row>
    <row r="1122" spans="15:21" x14ac:dyDescent="0.35">
      <c r="O1122" s="18">
        <v>5</v>
      </c>
      <c r="P1122" s="18">
        <f t="shared" si="96"/>
        <v>5600</v>
      </c>
      <c r="Q1122" s="3">
        <f t="shared" si="99"/>
        <v>6.2928837553485134E-6</v>
      </c>
      <c r="R1122" s="3">
        <f t="shared" si="95"/>
        <v>3.1464418776742568E-5</v>
      </c>
      <c r="S1122" s="3">
        <f t="shared" si="97"/>
        <v>0.23223902617084127</v>
      </c>
      <c r="T1122" s="20">
        <f t="shared" si="98"/>
        <v>0.12585767510697027</v>
      </c>
      <c r="U1122" s="20"/>
    </row>
    <row r="1123" spans="15:21" x14ac:dyDescent="0.35">
      <c r="O1123" s="18">
        <v>5</v>
      </c>
      <c r="P1123" s="18">
        <f t="shared" si="96"/>
        <v>5605</v>
      </c>
      <c r="Q1123" s="3">
        <f t="shared" si="99"/>
        <v>6.2810353903264401E-6</v>
      </c>
      <c r="R1123" s="3">
        <f t="shared" si="95"/>
        <v>3.1405176951632202E-5</v>
      </c>
      <c r="S1123" s="3">
        <f t="shared" si="97"/>
        <v>0.23227049058961802</v>
      </c>
      <c r="T1123" s="20">
        <f t="shared" si="98"/>
        <v>0.12562070780652879</v>
      </c>
      <c r="U1123" s="20"/>
    </row>
    <row r="1124" spans="15:21" x14ac:dyDescent="0.35">
      <c r="O1124" s="18">
        <v>5</v>
      </c>
      <c r="P1124" s="18">
        <f t="shared" si="96"/>
        <v>5610</v>
      </c>
      <c r="Q1124" s="3">
        <f t="shared" si="99"/>
        <v>6.269211967341721E-6</v>
      </c>
      <c r="R1124" s="3">
        <f t="shared" si="95"/>
        <v>3.1346059836708607E-5</v>
      </c>
      <c r="S1124" s="3">
        <f t="shared" si="97"/>
        <v>0.23230189576656965</v>
      </c>
      <c r="T1124" s="20">
        <f t="shared" si="98"/>
        <v>0.12538423934683443</v>
      </c>
      <c r="U1124" s="20"/>
    </row>
    <row r="1125" spans="15:21" x14ac:dyDescent="0.35">
      <c r="O1125" s="18">
        <v>5</v>
      </c>
      <c r="P1125" s="18">
        <f t="shared" si="96"/>
        <v>5615</v>
      </c>
      <c r="Q1125" s="3">
        <f t="shared" si="99"/>
        <v>6.2574134236931632E-6</v>
      </c>
      <c r="R1125" s="3">
        <f t="shared" si="95"/>
        <v>3.1287067118465815E-5</v>
      </c>
      <c r="S1125" s="3">
        <f t="shared" si="97"/>
        <v>0.23233324182640636</v>
      </c>
      <c r="T1125" s="20">
        <f t="shared" si="98"/>
        <v>0.12514826847386326</v>
      </c>
      <c r="U1125" s="20"/>
    </row>
    <row r="1126" spans="15:21" x14ac:dyDescent="0.35">
      <c r="O1126" s="18">
        <v>5</v>
      </c>
      <c r="P1126" s="18">
        <f t="shared" si="96"/>
        <v>5620</v>
      </c>
      <c r="Q1126" s="3">
        <f t="shared" si="99"/>
        <v>6.2456396968775126E-6</v>
      </c>
      <c r="R1126" s="3">
        <f t="shared" si="95"/>
        <v>3.1228198484387563E-5</v>
      </c>
      <c r="S1126" s="3">
        <f t="shared" si="97"/>
        <v>0.23236452889352482</v>
      </c>
      <c r="T1126" s="20">
        <f t="shared" si="98"/>
        <v>0.12491279393755027</v>
      </c>
      <c r="U1126" s="20"/>
    </row>
    <row r="1127" spans="15:21" x14ac:dyDescent="0.35">
      <c r="O1127" s="18">
        <v>5</v>
      </c>
      <c r="P1127" s="18">
        <f t="shared" si="96"/>
        <v>5625</v>
      </c>
      <c r="Q1127" s="3">
        <f t="shared" si="99"/>
        <v>6.2338907245886908E-6</v>
      </c>
      <c r="R1127" s="3">
        <f t="shared" si="95"/>
        <v>3.1169453622943454E-5</v>
      </c>
      <c r="S1127" s="3">
        <f t="shared" si="97"/>
        <v>0.23239575709200921</v>
      </c>
      <c r="T1127" s="20">
        <f t="shared" si="98"/>
        <v>0.12467781449177381</v>
      </c>
      <c r="U1127" s="20"/>
    </row>
    <row r="1128" spans="15:21" x14ac:dyDescent="0.35">
      <c r="O1128" s="18">
        <v>5</v>
      </c>
      <c r="P1128" s="18">
        <f t="shared" si="96"/>
        <v>5630</v>
      </c>
      <c r="Q1128" s="3">
        <f t="shared" si="99"/>
        <v>6.2221664447169915E-6</v>
      </c>
      <c r="R1128" s="3">
        <f t="shared" si="95"/>
        <v>3.1110832223584959E-5</v>
      </c>
      <c r="S1128" s="3">
        <f t="shared" si="97"/>
        <v>0.23242692654563216</v>
      </c>
      <c r="T1128" s="20">
        <f t="shared" si="98"/>
        <v>0.12444332889433983</v>
      </c>
      <c r="U1128" s="20"/>
    </row>
    <row r="1129" spans="15:21" x14ac:dyDescent="0.35">
      <c r="O1129" s="18">
        <v>5</v>
      </c>
      <c r="P1129" s="18">
        <f t="shared" si="96"/>
        <v>5635</v>
      </c>
      <c r="Q1129" s="3">
        <f t="shared" si="99"/>
        <v>6.210466795348305E-6</v>
      </c>
      <c r="R1129" s="3">
        <f t="shared" si="95"/>
        <v>3.1052333976741526E-5</v>
      </c>
      <c r="S1129" s="3">
        <f t="shared" si="97"/>
        <v>0.23245803737785575</v>
      </c>
      <c r="T1129" s="20">
        <f t="shared" si="98"/>
        <v>0.12420933590696612</v>
      </c>
      <c r="U1129" s="20"/>
    </row>
    <row r="1130" spans="15:21" x14ac:dyDescent="0.35">
      <c r="O1130" s="18">
        <v>5</v>
      </c>
      <c r="P1130" s="18">
        <f t="shared" si="96"/>
        <v>5640</v>
      </c>
      <c r="Q1130" s="3">
        <f t="shared" si="99"/>
        <v>6.1987917147633563E-6</v>
      </c>
      <c r="R1130" s="3">
        <f t="shared" si="95"/>
        <v>3.0993958573816778E-5</v>
      </c>
      <c r="S1130" s="3">
        <f t="shared" si="97"/>
        <v>0.23248908971183249</v>
      </c>
      <c r="T1130" s="20">
        <f t="shared" si="98"/>
        <v>0.12397583429526712</v>
      </c>
      <c r="U1130" s="20"/>
    </row>
    <row r="1131" spans="15:21" x14ac:dyDescent="0.35">
      <c r="O1131" s="18">
        <v>5</v>
      </c>
      <c r="P1131" s="18">
        <f t="shared" si="96"/>
        <v>5645</v>
      </c>
      <c r="Q1131" s="3">
        <f t="shared" si="99"/>
        <v>6.1871411414369086E-6</v>
      </c>
      <c r="R1131" s="3">
        <f t="shared" si="95"/>
        <v>3.0935705707184545E-5</v>
      </c>
      <c r="S1131" s="3">
        <f t="shared" si="97"/>
        <v>0.2325200836704063</v>
      </c>
      <c r="T1131" s="20">
        <f t="shared" si="98"/>
        <v>0.12374282282873818</v>
      </c>
      <c r="U1131" s="20"/>
    </row>
    <row r="1132" spans="15:21" x14ac:dyDescent="0.35">
      <c r="O1132" s="18">
        <v>5</v>
      </c>
      <c r="P1132" s="18">
        <f t="shared" si="96"/>
        <v>5650</v>
      </c>
      <c r="Q1132" s="3">
        <f t="shared" si="99"/>
        <v>6.1755150140370018E-6</v>
      </c>
      <c r="R1132" s="3">
        <f t="shared" si="95"/>
        <v>3.087757507018501E-5</v>
      </c>
      <c r="S1132" s="3">
        <f t="shared" si="97"/>
        <v>0.2325510193761135</v>
      </c>
      <c r="T1132" s="20">
        <f t="shared" si="98"/>
        <v>0.12351030028074003</v>
      </c>
      <c r="U1132" s="20"/>
    </row>
    <row r="1133" spans="15:21" x14ac:dyDescent="0.35">
      <c r="O1133" s="18">
        <v>5</v>
      </c>
      <c r="P1133" s="18">
        <f t="shared" si="96"/>
        <v>5655</v>
      </c>
      <c r="Q1133" s="3">
        <f t="shared" si="99"/>
        <v>6.1639132714242076E-6</v>
      </c>
      <c r="R1133" s="3">
        <f t="shared" si="95"/>
        <v>3.0819566357121036E-5</v>
      </c>
      <c r="S1133" s="3">
        <f t="shared" si="97"/>
        <v>0.2325818969511837</v>
      </c>
      <c r="T1133" s="20">
        <f t="shared" si="98"/>
        <v>0.12327826542848415</v>
      </c>
      <c r="U1133" s="20"/>
    </row>
    <row r="1134" spans="15:21" x14ac:dyDescent="0.35">
      <c r="O1134" s="18">
        <v>5</v>
      </c>
      <c r="P1134" s="18">
        <f t="shared" si="96"/>
        <v>5660</v>
      </c>
      <c r="Q1134" s="3">
        <f t="shared" si="99"/>
        <v>6.1523358526508495E-6</v>
      </c>
      <c r="R1134" s="3">
        <f t="shared" si="95"/>
        <v>3.0761679263254245E-5</v>
      </c>
      <c r="S1134" s="3">
        <f t="shared" si="97"/>
        <v>0.23261271651754081</v>
      </c>
      <c r="T1134" s="20">
        <f t="shared" si="98"/>
        <v>0.12304671705301701</v>
      </c>
      <c r="U1134" s="20"/>
    </row>
    <row r="1135" spans="15:21" x14ac:dyDescent="0.35">
      <c r="O1135" s="18">
        <v>5</v>
      </c>
      <c r="P1135" s="18">
        <f t="shared" si="96"/>
        <v>5665</v>
      </c>
      <c r="Q1135" s="3">
        <f t="shared" si="99"/>
        <v>6.1407826969602385E-6</v>
      </c>
      <c r="R1135" s="3">
        <f t="shared" si="95"/>
        <v>3.0703913484801196E-5</v>
      </c>
      <c r="S1135" s="3">
        <f t="shared" si="97"/>
        <v>0.23264347819680406</v>
      </c>
      <c r="T1135" s="20">
        <f t="shared" si="98"/>
        <v>0.12281565393920478</v>
      </c>
      <c r="U1135" s="20"/>
    </row>
    <row r="1136" spans="15:21" x14ac:dyDescent="0.35">
      <c r="O1136" s="18">
        <v>5</v>
      </c>
      <c r="P1136" s="18">
        <f t="shared" si="96"/>
        <v>5670</v>
      </c>
      <c r="Q1136" s="3">
        <f t="shared" si="99"/>
        <v>6.1292537437859233E-6</v>
      </c>
      <c r="R1136" s="3">
        <f t="shared" si="95"/>
        <v>3.0646268718929613E-5</v>
      </c>
      <c r="S1136" s="3">
        <f t="shared" si="97"/>
        <v>0.23267418211028887</v>
      </c>
      <c r="T1136" s="20">
        <f t="shared" si="98"/>
        <v>0.12258507487571847</v>
      </c>
      <c r="U1136" s="20"/>
    </row>
    <row r="1137" spans="15:21" x14ac:dyDescent="0.35">
      <c r="O1137" s="18">
        <v>5</v>
      </c>
      <c r="P1137" s="18">
        <f t="shared" si="96"/>
        <v>5675</v>
      </c>
      <c r="Q1137" s="3">
        <f t="shared" si="99"/>
        <v>6.1177489327509616E-6</v>
      </c>
      <c r="R1137" s="3">
        <f t="shared" si="95"/>
        <v>3.0588744663754805E-5</v>
      </c>
      <c r="S1137" s="3">
        <f t="shared" si="97"/>
        <v>0.2327048283790078</v>
      </c>
      <c r="T1137" s="20">
        <f t="shared" si="98"/>
        <v>0.12235497865501922</v>
      </c>
      <c r="U1137" s="20"/>
    </row>
    <row r="1138" spans="15:21" x14ac:dyDescent="0.35">
      <c r="O1138" s="18">
        <v>5</v>
      </c>
      <c r="P1138" s="18">
        <f t="shared" si="96"/>
        <v>5680</v>
      </c>
      <c r="Q1138" s="3">
        <f t="shared" si="99"/>
        <v>6.1062682036671497E-6</v>
      </c>
      <c r="R1138" s="3">
        <f t="shared" si="95"/>
        <v>3.0531341018335745E-5</v>
      </c>
      <c r="S1138" s="3">
        <f t="shared" si="97"/>
        <v>0.23273541712367155</v>
      </c>
      <c r="T1138" s="20">
        <f t="shared" si="98"/>
        <v>0.12212536407334298</v>
      </c>
      <c r="U1138" s="20"/>
    </row>
    <row r="1139" spans="15:21" x14ac:dyDescent="0.35">
      <c r="O1139" s="18">
        <v>5</v>
      </c>
      <c r="P1139" s="18">
        <f t="shared" si="96"/>
        <v>5685</v>
      </c>
      <c r="Q1139" s="3">
        <f t="shared" si="99"/>
        <v>6.0948114965342803E-6</v>
      </c>
      <c r="R1139" s="3">
        <f t="shared" si="95"/>
        <v>3.0474057482671401E-5</v>
      </c>
      <c r="S1139" s="3">
        <f t="shared" si="97"/>
        <v>0.23276594846468987</v>
      </c>
      <c r="T1139" s="20">
        <f t="shared" si="98"/>
        <v>0.12189622993068562</v>
      </c>
      <c r="U1139" s="20"/>
    </row>
    <row r="1140" spans="15:21" x14ac:dyDescent="0.35">
      <c r="O1140" s="18">
        <v>5</v>
      </c>
      <c r="P1140" s="18">
        <f t="shared" si="96"/>
        <v>5690</v>
      </c>
      <c r="Q1140" s="3">
        <f t="shared" si="99"/>
        <v>6.0833787515394107E-6</v>
      </c>
      <c r="R1140" s="3">
        <f t="shared" si="95"/>
        <v>3.0416893757697054E-5</v>
      </c>
      <c r="S1140" s="3">
        <f t="shared" si="97"/>
        <v>0.23279642252217253</v>
      </c>
      <c r="T1140" s="20">
        <f t="shared" si="98"/>
        <v>0.12166757503078821</v>
      </c>
      <c r="U1140" s="20"/>
    </row>
    <row r="1141" spans="15:21" x14ac:dyDescent="0.35">
      <c r="O1141" s="18">
        <v>5</v>
      </c>
      <c r="P1141" s="18">
        <f t="shared" si="96"/>
        <v>5695</v>
      </c>
      <c r="Q1141" s="3">
        <f t="shared" si="99"/>
        <v>6.0719699090561257E-6</v>
      </c>
      <c r="R1141" s="3">
        <f t="shared" si="95"/>
        <v>3.0359849545280629E-5</v>
      </c>
      <c r="S1141" s="3">
        <f t="shared" si="97"/>
        <v>0.23282683941593021</v>
      </c>
      <c r="T1141" s="20">
        <f t="shared" si="98"/>
        <v>0.12143939818112252</v>
      </c>
      <c r="U1141" s="20"/>
    </row>
    <row r="1142" spans="15:21" x14ac:dyDescent="0.35">
      <c r="O1142" s="18">
        <v>5</v>
      </c>
      <c r="P1142" s="18">
        <f t="shared" si="96"/>
        <v>5700</v>
      </c>
      <c r="Q1142" s="3">
        <f t="shared" si="99"/>
        <v>6.0605849096437995E-6</v>
      </c>
      <c r="R1142" s="3">
        <f t="shared" si="95"/>
        <v>3.0302924548218998E-5</v>
      </c>
      <c r="S1142" s="3">
        <f t="shared" si="97"/>
        <v>0.23285719926547549</v>
      </c>
      <c r="T1142" s="20">
        <f t="shared" si="98"/>
        <v>0.121211698192876</v>
      </c>
      <c r="U1142" s="20"/>
    </row>
    <row r="1143" spans="15:21" x14ac:dyDescent="0.35">
      <c r="O1143" s="18">
        <v>5</v>
      </c>
      <c r="P1143" s="18">
        <f t="shared" si="96"/>
        <v>5705</v>
      </c>
      <c r="Q1143" s="3">
        <f t="shared" si="99"/>
        <v>6.0492236940468699E-6</v>
      </c>
      <c r="R1143" s="3">
        <f t="shared" si="95"/>
        <v>3.024611847023435E-5</v>
      </c>
      <c r="S1143" s="3">
        <f t="shared" si="97"/>
        <v>0.23288750219002372</v>
      </c>
      <c r="T1143" s="20">
        <f t="shared" si="98"/>
        <v>0.12098447388093739</v>
      </c>
      <c r="U1143" s="20"/>
    </row>
    <row r="1144" spans="15:21" x14ac:dyDescent="0.35">
      <c r="O1144" s="18">
        <v>5</v>
      </c>
      <c r="P1144" s="18">
        <f t="shared" si="96"/>
        <v>5710</v>
      </c>
      <c r="Q1144" s="3">
        <f t="shared" si="99"/>
        <v>6.0378862031941207E-6</v>
      </c>
      <c r="R1144" s="3">
        <f t="shared" si="95"/>
        <v>3.0189431015970604E-5</v>
      </c>
      <c r="S1144" s="3">
        <f t="shared" si="97"/>
        <v>0.23291774830849396</v>
      </c>
      <c r="T1144" s="20">
        <f t="shared" si="98"/>
        <v>0.12075772406388242</v>
      </c>
      <c r="U1144" s="20"/>
    </row>
    <row r="1145" spans="15:21" x14ac:dyDescent="0.35">
      <c r="O1145" s="18">
        <v>5</v>
      </c>
      <c r="P1145" s="18">
        <f t="shared" si="96"/>
        <v>5715</v>
      </c>
      <c r="Q1145" s="3">
        <f t="shared" si="99"/>
        <v>6.0265723781979596E-6</v>
      </c>
      <c r="R1145" s="3">
        <f t="shared" si="95"/>
        <v>3.0132861890989797E-5</v>
      </c>
      <c r="S1145" s="3">
        <f t="shared" si="97"/>
        <v>0.23294793773950992</v>
      </c>
      <c r="T1145" s="20">
        <f t="shared" si="98"/>
        <v>0.1205314475639592</v>
      </c>
      <c r="U1145" s="20"/>
    </row>
    <row r="1146" spans="15:21" x14ac:dyDescent="0.35">
      <c r="O1146" s="18">
        <v>5</v>
      </c>
      <c r="P1146" s="18">
        <f t="shared" si="96"/>
        <v>5720</v>
      </c>
      <c r="Q1146" s="3">
        <f t="shared" si="99"/>
        <v>6.0152821603536679E-6</v>
      </c>
      <c r="R1146" s="3">
        <f t="shared" si="95"/>
        <v>3.007641080176834E-5</v>
      </c>
      <c r="S1146" s="3">
        <f t="shared" si="97"/>
        <v>0.23297807060140091</v>
      </c>
      <c r="T1146" s="20">
        <f t="shared" si="98"/>
        <v>0.12030564320707338</v>
      </c>
      <c r="U1146" s="20"/>
    </row>
    <row r="1147" spans="15:21" x14ac:dyDescent="0.35">
      <c r="O1147" s="18">
        <v>5</v>
      </c>
      <c r="P1147" s="18">
        <f t="shared" si="96"/>
        <v>5725</v>
      </c>
      <c r="Q1147" s="3">
        <f t="shared" si="99"/>
        <v>6.0040154911387254E-6</v>
      </c>
      <c r="R1147" s="3">
        <f t="shared" si="95"/>
        <v>3.0020077455693627E-5</v>
      </c>
      <c r="S1147" s="3">
        <f t="shared" si="97"/>
        <v>0.23300814701220268</v>
      </c>
      <c r="T1147" s="20">
        <f t="shared" si="98"/>
        <v>0.1200803098227745</v>
      </c>
      <c r="U1147" s="20"/>
    </row>
    <row r="1148" spans="15:21" x14ac:dyDescent="0.35">
      <c r="O1148" s="18">
        <v>5</v>
      </c>
      <c r="P1148" s="18">
        <f t="shared" si="96"/>
        <v>5730</v>
      </c>
      <c r="Q1148" s="3">
        <f t="shared" si="99"/>
        <v>5.9927723122120784E-6</v>
      </c>
      <c r="R1148" s="3">
        <f t="shared" si="95"/>
        <v>2.9963861561060394E-5</v>
      </c>
      <c r="S1148" s="3">
        <f t="shared" si="97"/>
        <v>0.23303816708965838</v>
      </c>
      <c r="T1148" s="20">
        <f t="shared" si="98"/>
        <v>0.11985544624424156</v>
      </c>
      <c r="U1148" s="20"/>
    </row>
    <row r="1149" spans="15:21" x14ac:dyDescent="0.35">
      <c r="O1149" s="18">
        <v>5</v>
      </c>
      <c r="P1149" s="18">
        <f t="shared" si="96"/>
        <v>5735</v>
      </c>
      <c r="Q1149" s="3">
        <f t="shared" si="99"/>
        <v>5.9815525654134379E-6</v>
      </c>
      <c r="R1149" s="3">
        <f t="shared" si="95"/>
        <v>2.9907762827067189E-5</v>
      </c>
      <c r="S1149" s="3">
        <f t="shared" si="97"/>
        <v>0.23306813095121945</v>
      </c>
      <c r="T1149" s="20">
        <f t="shared" si="98"/>
        <v>0.11963105130826875</v>
      </c>
      <c r="U1149" s="20"/>
    </row>
    <row r="1150" spans="15:21" x14ac:dyDescent="0.35">
      <c r="O1150" s="18">
        <v>5</v>
      </c>
      <c r="P1150" s="18">
        <f t="shared" si="96"/>
        <v>5740</v>
      </c>
      <c r="Q1150" s="3">
        <f t="shared" si="99"/>
        <v>5.9703561927625727E-6</v>
      </c>
      <c r="R1150" s="3">
        <f t="shared" si="95"/>
        <v>2.9851780963812864E-5</v>
      </c>
      <c r="S1150" s="3">
        <f t="shared" si="97"/>
        <v>0.23309803871404652</v>
      </c>
      <c r="T1150" s="20">
        <f t="shared" si="98"/>
        <v>0.11940712385525147</v>
      </c>
      <c r="U1150" s="20"/>
    </row>
    <row r="1151" spans="15:21" x14ac:dyDescent="0.35">
      <c r="O1151" s="18">
        <v>5</v>
      </c>
      <c r="P1151" s="18">
        <f t="shared" si="96"/>
        <v>5745</v>
      </c>
      <c r="Q1151" s="3">
        <f t="shared" si="99"/>
        <v>5.9591831364586059E-6</v>
      </c>
      <c r="R1151" s="3">
        <f t="shared" si="95"/>
        <v>2.979591568229303E-5</v>
      </c>
      <c r="S1151" s="3">
        <f t="shared" si="97"/>
        <v>0.23312789049501034</v>
      </c>
      <c r="T1151" s="20">
        <f t="shared" si="98"/>
        <v>0.11918366272917211</v>
      </c>
      <c r="U1151" s="20"/>
    </row>
    <row r="1152" spans="15:21" x14ac:dyDescent="0.35">
      <c r="O1152" s="18">
        <v>5</v>
      </c>
      <c r="P1152" s="18">
        <f t="shared" si="96"/>
        <v>5750</v>
      </c>
      <c r="Q1152" s="3">
        <f t="shared" si="99"/>
        <v>5.9480333388793134E-6</v>
      </c>
      <c r="R1152" s="3">
        <f t="shared" si="95"/>
        <v>2.9740166694396567E-5</v>
      </c>
      <c r="S1152" s="3">
        <f t="shared" si="97"/>
        <v>0.23315768641069265</v>
      </c>
      <c r="T1152" s="20">
        <f t="shared" si="98"/>
        <v>0.11896066677758628</v>
      </c>
      <c r="U1152" s="20"/>
    </row>
    <row r="1153" spans="15:21" x14ac:dyDescent="0.35">
      <c r="O1153" s="18">
        <v>5</v>
      </c>
      <c r="P1153" s="18">
        <f t="shared" si="96"/>
        <v>5755</v>
      </c>
      <c r="Q1153" s="3">
        <f t="shared" si="99"/>
        <v>5.936906742580442E-6</v>
      </c>
      <c r="R1153" s="3">
        <f t="shared" si="95"/>
        <v>2.9684533712902211E-5</v>
      </c>
      <c r="S1153" s="3">
        <f t="shared" si="97"/>
        <v>0.23318742657738706</v>
      </c>
      <c r="T1153" s="20">
        <f t="shared" si="98"/>
        <v>0.11873813485160883</v>
      </c>
      <c r="U1153" s="20"/>
    </row>
    <row r="1154" spans="15:21" x14ac:dyDescent="0.35">
      <c r="O1154" s="18">
        <v>5</v>
      </c>
      <c r="P1154" s="18">
        <f t="shared" si="96"/>
        <v>5760</v>
      </c>
      <c r="Q1154" s="3">
        <f t="shared" si="99"/>
        <v>5.9258032902950054E-6</v>
      </c>
      <c r="R1154" s="3">
        <f t="shared" ref="R1154:R1217" si="100">Q1154*O1154</f>
        <v>2.9629016451475026E-5</v>
      </c>
      <c r="S1154" s="3">
        <f t="shared" si="97"/>
        <v>0.23321711111109997</v>
      </c>
      <c r="T1154" s="20">
        <f t="shared" si="98"/>
        <v>0.11851606580590011</v>
      </c>
      <c r="U1154" s="20"/>
    </row>
    <row r="1155" spans="15:21" x14ac:dyDescent="0.35">
      <c r="O1155" s="18">
        <v>5</v>
      </c>
      <c r="P1155" s="18">
        <f t="shared" ref="P1155:P1218" si="101">O1155+P1154</f>
        <v>5765</v>
      </c>
      <c r="Q1155" s="3">
        <f t="shared" si="99"/>
        <v>5.9147229249325952E-6</v>
      </c>
      <c r="R1155" s="3">
        <f t="shared" si="100"/>
        <v>2.9573614624662976E-5</v>
      </c>
      <c r="S1155" s="3">
        <f t="shared" ref="S1155:S1218" si="102">S1154+R1154</f>
        <v>0.23324674012755145</v>
      </c>
      <c r="T1155" s="20">
        <f t="shared" ref="T1155:T1218" si="103">Q1155*$B$9*$B$2*0.5/$B$11</f>
        <v>0.1182944584986519</v>
      </c>
      <c r="U1155" s="20"/>
    </row>
    <row r="1156" spans="15:21" x14ac:dyDescent="0.35">
      <c r="O1156" s="18">
        <v>5</v>
      </c>
      <c r="P1156" s="18">
        <f t="shared" si="101"/>
        <v>5770</v>
      </c>
      <c r="Q1156" s="3">
        <f t="shared" ref="Q1156:Q1219" si="104">$T$2*(1-(S1156/$B$12))/($B$9*((0.5*$B$2/$B$11)+(S1156/$B$10)))</f>
        <v>5.9036655895787085E-6</v>
      </c>
      <c r="R1156" s="3">
        <f t="shared" si="100"/>
        <v>2.9518327947893543E-5</v>
      </c>
      <c r="S1156" s="3">
        <f t="shared" si="102"/>
        <v>0.23327631374217611</v>
      </c>
      <c r="T1156" s="20">
        <f t="shared" si="103"/>
        <v>0.11807331179157418</v>
      </c>
      <c r="U1156" s="20"/>
    </row>
    <row r="1157" spans="15:21" x14ac:dyDescent="0.35">
      <c r="O1157" s="18">
        <v>5</v>
      </c>
      <c r="P1157" s="18">
        <f t="shared" si="101"/>
        <v>5775</v>
      </c>
      <c r="Q1157" s="3">
        <f t="shared" si="104"/>
        <v>5.8926312274940498E-6</v>
      </c>
      <c r="R1157" s="3">
        <f t="shared" si="100"/>
        <v>2.9463156137470248E-5</v>
      </c>
      <c r="S1157" s="3">
        <f t="shared" si="102"/>
        <v>0.23330583207012401</v>
      </c>
      <c r="T1157" s="20">
        <f t="shared" si="103"/>
        <v>0.117852624549881</v>
      </c>
      <c r="U1157" s="20"/>
    </row>
    <row r="1158" spans="15:21" x14ac:dyDescent="0.35">
      <c r="O1158" s="18">
        <v>5</v>
      </c>
      <c r="P1158" s="18">
        <f t="shared" si="101"/>
        <v>5780</v>
      </c>
      <c r="Q1158" s="3">
        <f t="shared" si="104"/>
        <v>5.8816197821138613E-6</v>
      </c>
      <c r="R1158" s="3">
        <f t="shared" si="100"/>
        <v>2.9408098910569307E-5</v>
      </c>
      <c r="S1158" s="3">
        <f t="shared" si="102"/>
        <v>0.23333529522626148</v>
      </c>
      <c r="T1158" s="20">
        <f t="shared" si="103"/>
        <v>0.11763239564227722</v>
      </c>
      <c r="U1158" s="20"/>
    </row>
    <row r="1159" spans="15:21" x14ac:dyDescent="0.35">
      <c r="O1159" s="18">
        <v>5</v>
      </c>
      <c r="P1159" s="18">
        <f t="shared" si="101"/>
        <v>5785</v>
      </c>
      <c r="Q1159" s="3">
        <f t="shared" si="104"/>
        <v>5.8706311970472455E-6</v>
      </c>
      <c r="R1159" s="3">
        <f t="shared" si="100"/>
        <v>2.9353155985236228E-5</v>
      </c>
      <c r="S1159" s="3">
        <f t="shared" si="102"/>
        <v>0.23336470332517206</v>
      </c>
      <c r="T1159" s="20">
        <f t="shared" si="103"/>
        <v>0.11741262394094493</v>
      </c>
      <c r="U1159" s="20"/>
    </row>
    <row r="1160" spans="15:21" x14ac:dyDescent="0.35">
      <c r="O1160" s="18">
        <v>5</v>
      </c>
      <c r="P1160" s="18">
        <f t="shared" si="101"/>
        <v>5790</v>
      </c>
      <c r="Q1160" s="3">
        <f t="shared" si="104"/>
        <v>5.8596654160765048E-6</v>
      </c>
      <c r="R1160" s="3">
        <f t="shared" si="100"/>
        <v>2.9298327080382523E-5</v>
      </c>
      <c r="S1160" s="3">
        <f t="shared" si="102"/>
        <v>0.2333940564811573</v>
      </c>
      <c r="T1160" s="20">
        <f t="shared" si="103"/>
        <v>0.11719330832153009</v>
      </c>
      <c r="U1160" s="20"/>
    </row>
    <row r="1161" spans="15:21" x14ac:dyDescent="0.35">
      <c r="O1161" s="18">
        <v>5</v>
      </c>
      <c r="P1161" s="18">
        <f t="shared" si="101"/>
        <v>5795</v>
      </c>
      <c r="Q1161" s="3">
        <f t="shared" si="104"/>
        <v>5.8487223831564487E-6</v>
      </c>
      <c r="R1161" s="3">
        <f t="shared" si="100"/>
        <v>2.9243611915782243E-5</v>
      </c>
      <c r="S1161" s="3">
        <f t="shared" si="102"/>
        <v>0.23342335480823767</v>
      </c>
      <c r="T1161" s="20">
        <f t="shared" si="103"/>
        <v>0.11697444766312896</v>
      </c>
      <c r="U1161" s="20"/>
    </row>
    <row r="1162" spans="15:21" x14ac:dyDescent="0.35">
      <c r="O1162" s="18">
        <v>5</v>
      </c>
      <c r="P1162" s="18">
        <f t="shared" si="101"/>
        <v>5800</v>
      </c>
      <c r="Q1162" s="3">
        <f t="shared" si="104"/>
        <v>5.8378020424137398E-6</v>
      </c>
      <c r="R1162" s="3">
        <f t="shared" si="100"/>
        <v>2.91890102120687E-5</v>
      </c>
      <c r="S1162" s="3">
        <f t="shared" si="102"/>
        <v>0.23345259842015345</v>
      </c>
      <c r="T1162" s="20">
        <f t="shared" si="103"/>
        <v>0.11675604084827479</v>
      </c>
      <c r="U1162" s="20"/>
    </row>
    <row r="1163" spans="15:21" x14ac:dyDescent="0.35">
      <c r="O1163" s="18">
        <v>5</v>
      </c>
      <c r="P1163" s="18">
        <f t="shared" si="101"/>
        <v>5805</v>
      </c>
      <c r="Q1163" s="3">
        <f t="shared" si="104"/>
        <v>5.8269043381462389E-6</v>
      </c>
      <c r="R1163" s="3">
        <f t="shared" si="100"/>
        <v>2.9134521690731195E-5</v>
      </c>
      <c r="S1163" s="3">
        <f t="shared" si="102"/>
        <v>0.23348178743036552</v>
      </c>
      <c r="T1163" s="20">
        <f t="shared" si="103"/>
        <v>0.11653808676292479</v>
      </c>
      <c r="U1163" s="20"/>
    </row>
    <row r="1164" spans="15:21" x14ac:dyDescent="0.35">
      <c r="O1164" s="18">
        <v>5</v>
      </c>
      <c r="P1164" s="18">
        <f t="shared" si="101"/>
        <v>5810</v>
      </c>
      <c r="Q1164" s="3">
        <f t="shared" si="104"/>
        <v>5.8160292148223353E-6</v>
      </c>
      <c r="R1164" s="3">
        <f t="shared" si="100"/>
        <v>2.9080146074111675E-5</v>
      </c>
      <c r="S1164" s="3">
        <f t="shared" si="102"/>
        <v>0.23351092195205625</v>
      </c>
      <c r="T1164" s="20">
        <f t="shared" si="103"/>
        <v>0.11632058429644672</v>
      </c>
      <c r="U1164" s="20"/>
    </row>
    <row r="1165" spans="15:21" x14ac:dyDescent="0.35">
      <c r="O1165" s="18">
        <v>5</v>
      </c>
      <c r="P1165" s="18">
        <f t="shared" si="101"/>
        <v>5815</v>
      </c>
      <c r="Q1165" s="3">
        <f t="shared" si="104"/>
        <v>5.8051766170802887E-6</v>
      </c>
      <c r="R1165" s="3">
        <f t="shared" si="100"/>
        <v>2.9025883085401443E-5</v>
      </c>
      <c r="S1165" s="3">
        <f t="shared" si="102"/>
        <v>0.23354000209813036</v>
      </c>
      <c r="T1165" s="20">
        <f t="shared" si="103"/>
        <v>0.11610353234160578</v>
      </c>
      <c r="U1165" s="20"/>
    </row>
    <row r="1166" spans="15:21" x14ac:dyDescent="0.35">
      <c r="O1166" s="18">
        <v>5</v>
      </c>
      <c r="P1166" s="18">
        <f t="shared" si="101"/>
        <v>5820</v>
      </c>
      <c r="Q1166" s="3">
        <f t="shared" si="104"/>
        <v>5.7943464897275921E-6</v>
      </c>
      <c r="R1166" s="3">
        <f t="shared" si="100"/>
        <v>2.897173244863796E-5</v>
      </c>
      <c r="S1166" s="3">
        <f t="shared" si="102"/>
        <v>0.23356902798121576</v>
      </c>
      <c r="T1166" s="20">
        <f t="shared" si="103"/>
        <v>0.11588692979455184</v>
      </c>
      <c r="U1166" s="20"/>
    </row>
    <row r="1167" spans="15:21" x14ac:dyDescent="0.35">
      <c r="O1167" s="18">
        <v>5</v>
      </c>
      <c r="P1167" s="18">
        <f t="shared" si="101"/>
        <v>5825</v>
      </c>
      <c r="Q1167" s="3">
        <f t="shared" si="104"/>
        <v>5.7835387777402917E-6</v>
      </c>
      <c r="R1167" s="3">
        <f t="shared" si="100"/>
        <v>2.8917693888701459E-5</v>
      </c>
      <c r="S1167" s="3">
        <f t="shared" si="102"/>
        <v>0.23359799971366441</v>
      </c>
      <c r="T1167" s="20">
        <f t="shared" si="103"/>
        <v>0.11567077555480584</v>
      </c>
      <c r="U1167" s="20"/>
    </row>
    <row r="1168" spans="15:21" x14ac:dyDescent="0.35">
      <c r="O1168" s="18">
        <v>5</v>
      </c>
      <c r="P1168" s="18">
        <f t="shared" si="101"/>
        <v>5830</v>
      </c>
      <c r="Q1168" s="3">
        <f t="shared" si="104"/>
        <v>5.7727534262623713E-6</v>
      </c>
      <c r="R1168" s="3">
        <f t="shared" si="100"/>
        <v>2.8863767131311855E-5</v>
      </c>
      <c r="S1168" s="3">
        <f t="shared" si="102"/>
        <v>0.23362691740755312</v>
      </c>
      <c r="T1168" s="20">
        <f t="shared" si="103"/>
        <v>0.11545506852524742</v>
      </c>
      <c r="U1168" s="20"/>
    </row>
    <row r="1169" spans="15:21" x14ac:dyDescent="0.35">
      <c r="O1169" s="18">
        <v>5</v>
      </c>
      <c r="P1169" s="18">
        <f t="shared" si="101"/>
        <v>5835</v>
      </c>
      <c r="Q1169" s="3">
        <f t="shared" si="104"/>
        <v>5.7619903806050927E-6</v>
      </c>
      <c r="R1169" s="3">
        <f t="shared" si="100"/>
        <v>2.8809951903025463E-5</v>
      </c>
      <c r="S1169" s="3">
        <f t="shared" si="102"/>
        <v>0.23365578117468444</v>
      </c>
      <c r="T1169" s="20">
        <f t="shared" si="103"/>
        <v>0.11523980761210185</v>
      </c>
      <c r="U1169" s="20"/>
    </row>
    <row r="1170" spans="15:21" x14ac:dyDescent="0.35">
      <c r="O1170" s="18">
        <v>5</v>
      </c>
      <c r="P1170" s="18">
        <f t="shared" si="101"/>
        <v>5840</v>
      </c>
      <c r="Q1170" s="3">
        <f t="shared" si="104"/>
        <v>5.7512495862463563E-6</v>
      </c>
      <c r="R1170" s="3">
        <f t="shared" si="100"/>
        <v>2.8756247931231782E-5</v>
      </c>
      <c r="S1170" s="3">
        <f t="shared" si="102"/>
        <v>0.23368459112658746</v>
      </c>
      <c r="T1170" s="20">
        <f t="shared" si="103"/>
        <v>0.11502499172492714</v>
      </c>
      <c r="U1170" s="20"/>
    </row>
    <row r="1171" spans="15:21" x14ac:dyDescent="0.35">
      <c r="O1171" s="18">
        <v>5</v>
      </c>
      <c r="P1171" s="18">
        <f t="shared" si="101"/>
        <v>5845</v>
      </c>
      <c r="Q1171" s="3">
        <f t="shared" si="104"/>
        <v>5.7405309888300547E-6</v>
      </c>
      <c r="R1171" s="3">
        <f t="shared" si="100"/>
        <v>2.8702654944150275E-5</v>
      </c>
      <c r="S1171" s="3">
        <f t="shared" si="102"/>
        <v>0.23371334737451868</v>
      </c>
      <c r="T1171" s="20">
        <f t="shared" si="103"/>
        <v>0.11481061977660111</v>
      </c>
      <c r="U1171" s="20"/>
    </row>
    <row r="1172" spans="15:21" x14ac:dyDescent="0.35">
      <c r="O1172" s="18">
        <v>5</v>
      </c>
      <c r="P1172" s="18">
        <f t="shared" si="101"/>
        <v>5850</v>
      </c>
      <c r="Q1172" s="3">
        <f t="shared" si="104"/>
        <v>5.7298345341654466E-6</v>
      </c>
      <c r="R1172" s="3">
        <f t="shared" si="100"/>
        <v>2.8649172670827231E-5</v>
      </c>
      <c r="S1172" s="3">
        <f t="shared" si="102"/>
        <v>0.23374205002946283</v>
      </c>
      <c r="T1172" s="20">
        <f t="shared" si="103"/>
        <v>0.11459669068330894</v>
      </c>
      <c r="U1172" s="20"/>
    </row>
    <row r="1173" spans="15:21" x14ac:dyDescent="0.35">
      <c r="O1173" s="18">
        <v>5</v>
      </c>
      <c r="P1173" s="18">
        <f t="shared" si="101"/>
        <v>5855</v>
      </c>
      <c r="Q1173" s="3">
        <f t="shared" si="104"/>
        <v>5.7191601682265294E-6</v>
      </c>
      <c r="R1173" s="3">
        <f t="shared" si="100"/>
        <v>2.8595800841132646E-5</v>
      </c>
      <c r="S1173" s="3">
        <f t="shared" si="102"/>
        <v>0.23377069920213364</v>
      </c>
      <c r="T1173" s="20">
        <f t="shared" si="103"/>
        <v>0.11438320336453059</v>
      </c>
      <c r="U1173" s="20"/>
    </row>
    <row r="1174" spans="15:21" x14ac:dyDescent="0.35">
      <c r="O1174" s="18">
        <v>5</v>
      </c>
      <c r="P1174" s="18">
        <f t="shared" si="101"/>
        <v>5860</v>
      </c>
      <c r="Q1174" s="3">
        <f t="shared" si="104"/>
        <v>5.7085078371513902E-6</v>
      </c>
      <c r="R1174" s="3">
        <f t="shared" si="100"/>
        <v>2.8542539185756951E-5</v>
      </c>
      <c r="S1174" s="3">
        <f t="shared" si="102"/>
        <v>0.23379929500297478</v>
      </c>
      <c r="T1174" s="20">
        <f t="shared" si="103"/>
        <v>0.1141701567430278</v>
      </c>
      <c r="U1174" s="20"/>
    </row>
    <row r="1175" spans="15:21" x14ac:dyDescent="0.35">
      <c r="O1175" s="18">
        <v>5</v>
      </c>
      <c r="P1175" s="18">
        <f t="shared" si="101"/>
        <v>5865</v>
      </c>
      <c r="Q1175" s="3">
        <f t="shared" si="104"/>
        <v>5.6978774872416139E-6</v>
      </c>
      <c r="R1175" s="3">
        <f t="shared" si="100"/>
        <v>2.8489387436208069E-5</v>
      </c>
      <c r="S1175" s="3">
        <f t="shared" si="102"/>
        <v>0.23382783754216052</v>
      </c>
      <c r="T1175" s="20">
        <f t="shared" si="103"/>
        <v>0.11395754974483228</v>
      </c>
      <c r="U1175" s="20"/>
    </row>
    <row r="1176" spans="15:21" x14ac:dyDescent="0.35">
      <c r="O1176" s="18">
        <v>5</v>
      </c>
      <c r="P1176" s="18">
        <f t="shared" si="101"/>
        <v>5870</v>
      </c>
      <c r="Q1176" s="3">
        <f t="shared" si="104"/>
        <v>5.6872690649616121E-6</v>
      </c>
      <c r="R1176" s="3">
        <f t="shared" si="100"/>
        <v>2.8436345324808059E-5</v>
      </c>
      <c r="S1176" s="3">
        <f t="shared" si="102"/>
        <v>0.23385632692959674</v>
      </c>
      <c r="T1176" s="20">
        <f t="shared" si="103"/>
        <v>0.11374538129923224</v>
      </c>
      <c r="U1176" s="20"/>
    </row>
    <row r="1177" spans="15:21" x14ac:dyDescent="0.35">
      <c r="O1177" s="18">
        <v>5</v>
      </c>
      <c r="P1177" s="18">
        <f t="shared" si="101"/>
        <v>5875</v>
      </c>
      <c r="Q1177" s="3">
        <f t="shared" si="104"/>
        <v>5.6766825169380474E-6</v>
      </c>
      <c r="R1177" s="3">
        <f t="shared" si="100"/>
        <v>2.8383412584690238E-5</v>
      </c>
      <c r="S1177" s="3">
        <f t="shared" si="102"/>
        <v>0.23388476327492155</v>
      </c>
      <c r="T1177" s="20">
        <f t="shared" si="103"/>
        <v>0.11353365033876096</v>
      </c>
      <c r="U1177" s="20"/>
    </row>
    <row r="1178" spans="15:21" x14ac:dyDescent="0.35">
      <c r="O1178" s="18">
        <v>5</v>
      </c>
      <c r="P1178" s="18">
        <f t="shared" si="101"/>
        <v>5880</v>
      </c>
      <c r="Q1178" s="3">
        <f t="shared" si="104"/>
        <v>5.6661177899592012E-6</v>
      </c>
      <c r="R1178" s="3">
        <f t="shared" si="100"/>
        <v>2.8330588949796004E-5</v>
      </c>
      <c r="S1178" s="3">
        <f t="shared" si="102"/>
        <v>0.23391314668750623</v>
      </c>
      <c r="T1178" s="20">
        <f t="shared" si="103"/>
        <v>0.11332235579918402</v>
      </c>
      <c r="U1178" s="20"/>
    </row>
    <row r="1179" spans="15:21" x14ac:dyDescent="0.35">
      <c r="O1179" s="18">
        <v>5</v>
      </c>
      <c r="P1179" s="18">
        <f t="shared" si="101"/>
        <v>5885</v>
      </c>
      <c r="Q1179" s="3">
        <f t="shared" si="104"/>
        <v>5.6555748309743328E-6</v>
      </c>
      <c r="R1179" s="3">
        <f t="shared" si="100"/>
        <v>2.8277874154871665E-5</v>
      </c>
      <c r="S1179" s="3">
        <f t="shared" si="102"/>
        <v>0.23394147727645603</v>
      </c>
      <c r="T1179" s="20">
        <f t="shared" si="103"/>
        <v>0.11311149661948666</v>
      </c>
      <c r="U1179" s="20"/>
    </row>
    <row r="1180" spans="15:21" x14ac:dyDescent="0.35">
      <c r="O1180" s="18">
        <v>5</v>
      </c>
      <c r="P1180" s="18">
        <f t="shared" si="101"/>
        <v>5890</v>
      </c>
      <c r="Q1180" s="3">
        <f t="shared" si="104"/>
        <v>5.6450535870931065E-6</v>
      </c>
      <c r="R1180" s="3">
        <f t="shared" si="100"/>
        <v>2.8225267935465534E-5</v>
      </c>
      <c r="S1180" s="3">
        <f t="shared" si="102"/>
        <v>0.23396975515061091</v>
      </c>
      <c r="T1180" s="20">
        <f t="shared" si="103"/>
        <v>0.11290107174186215</v>
      </c>
      <c r="U1180" s="20"/>
    </row>
    <row r="1181" spans="15:21" x14ac:dyDescent="0.35">
      <c r="O1181" s="18">
        <v>5</v>
      </c>
      <c r="P1181" s="18">
        <f t="shared" si="101"/>
        <v>5895</v>
      </c>
      <c r="Q1181" s="3">
        <f t="shared" si="104"/>
        <v>5.6345540055849628E-6</v>
      </c>
      <c r="R1181" s="3">
        <f t="shared" si="100"/>
        <v>2.8172770027924813E-5</v>
      </c>
      <c r="S1181" s="3">
        <f t="shared" si="102"/>
        <v>0.23399798041854639</v>
      </c>
      <c r="T1181" s="20">
        <f t="shared" si="103"/>
        <v>0.11269108011169927</v>
      </c>
      <c r="U1181" s="20"/>
    </row>
    <row r="1182" spans="15:21" x14ac:dyDescent="0.35">
      <c r="O1182" s="18">
        <v>5</v>
      </c>
      <c r="P1182" s="18">
        <f t="shared" si="101"/>
        <v>5900</v>
      </c>
      <c r="Q1182" s="3">
        <f t="shared" si="104"/>
        <v>5.6240760338785111E-6</v>
      </c>
      <c r="R1182" s="3">
        <f t="shared" si="100"/>
        <v>2.8120380169392557E-5</v>
      </c>
      <c r="S1182" s="3">
        <f t="shared" si="102"/>
        <v>0.23402615318857431</v>
      </c>
      <c r="T1182" s="20">
        <f t="shared" si="103"/>
        <v>0.11248152067757021</v>
      </c>
      <c r="U1182" s="20"/>
    </row>
    <row r="1183" spans="15:21" x14ac:dyDescent="0.35">
      <c r="O1183" s="18">
        <v>5</v>
      </c>
      <c r="P1183" s="18">
        <f t="shared" si="101"/>
        <v>5905</v>
      </c>
      <c r="Q1183" s="3">
        <f t="shared" si="104"/>
        <v>5.6136196195609358E-6</v>
      </c>
      <c r="R1183" s="3">
        <f t="shared" si="100"/>
        <v>2.806809809780468E-5</v>
      </c>
      <c r="S1183" s="3">
        <f t="shared" si="102"/>
        <v>0.2340542735687437</v>
      </c>
      <c r="T1183" s="20">
        <f t="shared" si="103"/>
        <v>0.11227239239121872</v>
      </c>
      <c r="U1183" s="20"/>
    </row>
    <row r="1184" spans="15:21" x14ac:dyDescent="0.35">
      <c r="O1184" s="18">
        <v>5</v>
      </c>
      <c r="P1184" s="18">
        <f t="shared" si="101"/>
        <v>5910</v>
      </c>
      <c r="Q1184" s="3">
        <f t="shared" si="104"/>
        <v>5.6031847103773792E-6</v>
      </c>
      <c r="R1184" s="3">
        <f t="shared" si="100"/>
        <v>2.8015923551886895E-5</v>
      </c>
      <c r="S1184" s="3">
        <f t="shared" si="102"/>
        <v>0.2340823416668415</v>
      </c>
      <c r="T1184" s="20">
        <f t="shared" si="103"/>
        <v>0.11206369420754758</v>
      </c>
      <c r="U1184" s="20"/>
    </row>
    <row r="1185" spans="15:21" x14ac:dyDescent="0.35">
      <c r="O1185" s="18">
        <v>5</v>
      </c>
      <c r="P1185" s="18">
        <f t="shared" si="101"/>
        <v>5915</v>
      </c>
      <c r="Q1185" s="3">
        <f t="shared" si="104"/>
        <v>5.5927712542303567E-6</v>
      </c>
      <c r="R1185" s="3">
        <f t="shared" si="100"/>
        <v>2.7963856271151785E-5</v>
      </c>
      <c r="S1185" s="3">
        <f t="shared" si="102"/>
        <v>0.23411035759039339</v>
      </c>
      <c r="T1185" s="20">
        <f t="shared" si="103"/>
        <v>0.11185542508460714</v>
      </c>
      <c r="U1185" s="20"/>
    </row>
    <row r="1186" spans="15:21" x14ac:dyDescent="0.35">
      <c r="O1186" s="18">
        <v>5</v>
      </c>
      <c r="P1186" s="18">
        <f t="shared" si="101"/>
        <v>5920</v>
      </c>
      <c r="Q1186" s="3">
        <f t="shared" si="104"/>
        <v>5.5823791991791658E-6</v>
      </c>
      <c r="R1186" s="3">
        <f t="shared" si="100"/>
        <v>2.7911895995895829E-5</v>
      </c>
      <c r="S1186" s="3">
        <f t="shared" si="102"/>
        <v>0.23413832144666455</v>
      </c>
      <c r="T1186" s="20">
        <f t="shared" si="103"/>
        <v>0.11164758398358331</v>
      </c>
      <c r="U1186" s="20"/>
    </row>
    <row r="1187" spans="15:21" x14ac:dyDescent="0.35">
      <c r="O1187" s="18">
        <v>5</v>
      </c>
      <c r="P1187" s="18">
        <f t="shared" si="101"/>
        <v>5925</v>
      </c>
      <c r="Q1187" s="3">
        <f t="shared" si="104"/>
        <v>5.5720084934392818E-6</v>
      </c>
      <c r="R1187" s="3">
        <f t="shared" si="100"/>
        <v>2.786004246719641E-5</v>
      </c>
      <c r="S1187" s="3">
        <f t="shared" si="102"/>
        <v>0.23416623334266046</v>
      </c>
      <c r="T1187" s="20">
        <f t="shared" si="103"/>
        <v>0.11144016986878565</v>
      </c>
      <c r="U1187" s="20"/>
    </row>
    <row r="1188" spans="15:21" x14ac:dyDescent="0.35">
      <c r="O1188" s="18">
        <v>5</v>
      </c>
      <c r="P1188" s="18">
        <f t="shared" si="101"/>
        <v>5930</v>
      </c>
      <c r="Q1188" s="3">
        <f t="shared" si="104"/>
        <v>5.5616590853817842E-6</v>
      </c>
      <c r="R1188" s="3">
        <f t="shared" si="100"/>
        <v>2.7808295426908921E-5</v>
      </c>
      <c r="S1188" s="3">
        <f t="shared" si="102"/>
        <v>0.23419409338512764</v>
      </c>
      <c r="T1188" s="20">
        <f t="shared" si="103"/>
        <v>0.11123318170763567</v>
      </c>
      <c r="U1188" s="20"/>
    </row>
    <row r="1189" spans="15:21" x14ac:dyDescent="0.35">
      <c r="O1189" s="18">
        <v>5</v>
      </c>
      <c r="P1189" s="18">
        <f t="shared" si="101"/>
        <v>5935</v>
      </c>
      <c r="Q1189" s="3">
        <f t="shared" si="104"/>
        <v>5.5513309235327407E-6</v>
      </c>
      <c r="R1189" s="3">
        <f t="shared" si="100"/>
        <v>2.7756654617663702E-5</v>
      </c>
      <c r="S1189" s="3">
        <f t="shared" si="102"/>
        <v>0.23422190168055454</v>
      </c>
      <c r="T1189" s="20">
        <f t="shared" si="103"/>
        <v>0.11102661847065481</v>
      </c>
      <c r="U1189" s="20"/>
    </row>
    <row r="1190" spans="15:21" x14ac:dyDescent="0.35">
      <c r="O1190" s="18">
        <v>5</v>
      </c>
      <c r="P1190" s="18">
        <f t="shared" si="101"/>
        <v>5940</v>
      </c>
      <c r="Q1190" s="3">
        <f t="shared" si="104"/>
        <v>5.5410239565726477E-6</v>
      </c>
      <c r="R1190" s="3">
        <f t="shared" si="100"/>
        <v>2.7705119782863238E-5</v>
      </c>
      <c r="S1190" s="3">
        <f t="shared" si="102"/>
        <v>0.2342496583351722</v>
      </c>
      <c r="T1190" s="20">
        <f t="shared" si="103"/>
        <v>0.11082047913145295</v>
      </c>
      <c r="U1190" s="20"/>
    </row>
    <row r="1191" spans="15:21" x14ac:dyDescent="0.35">
      <c r="O1191" s="18">
        <v>5</v>
      </c>
      <c r="P1191" s="18">
        <f t="shared" si="101"/>
        <v>5945</v>
      </c>
      <c r="Q1191" s="3">
        <f t="shared" si="104"/>
        <v>5.5307381333358414E-6</v>
      </c>
      <c r="R1191" s="3">
        <f t="shared" si="100"/>
        <v>2.7653690666679208E-5</v>
      </c>
      <c r="S1191" s="3">
        <f t="shared" si="102"/>
        <v>0.23427736345495506</v>
      </c>
      <c r="T1191" s="20">
        <f t="shared" si="103"/>
        <v>0.11061476266671683</v>
      </c>
      <c r="U1191" s="20"/>
    </row>
    <row r="1192" spans="15:21" x14ac:dyDescent="0.35">
      <c r="O1192" s="18">
        <v>5</v>
      </c>
      <c r="P1192" s="18">
        <f t="shared" si="101"/>
        <v>5950</v>
      </c>
      <c r="Q1192" s="3">
        <f t="shared" si="104"/>
        <v>5.5204734028099251E-6</v>
      </c>
      <c r="R1192" s="3">
        <f t="shared" si="100"/>
        <v>2.7602367014049625E-5</v>
      </c>
      <c r="S1192" s="3">
        <f t="shared" si="102"/>
        <v>0.23430501714562174</v>
      </c>
      <c r="T1192" s="20">
        <f t="shared" si="103"/>
        <v>0.1104094680561985</v>
      </c>
      <c r="U1192" s="20"/>
    </row>
    <row r="1193" spans="15:21" x14ac:dyDescent="0.35">
      <c r="O1193" s="18">
        <v>5</v>
      </c>
      <c r="P1193" s="18">
        <f t="shared" si="101"/>
        <v>5955</v>
      </c>
      <c r="Q1193" s="3">
        <f t="shared" si="104"/>
        <v>5.5102297141351867E-6</v>
      </c>
      <c r="R1193" s="3">
        <f t="shared" si="100"/>
        <v>2.7551148570675932E-5</v>
      </c>
      <c r="S1193" s="3">
        <f t="shared" si="102"/>
        <v>0.23433261951263579</v>
      </c>
      <c r="T1193" s="20">
        <f t="shared" si="103"/>
        <v>0.11020459428270374</v>
      </c>
      <c r="U1193" s="20"/>
    </row>
    <row r="1194" spans="15:21" x14ac:dyDescent="0.35">
      <c r="O1194" s="18">
        <v>5</v>
      </c>
      <c r="P1194" s="18">
        <f t="shared" si="101"/>
        <v>5960</v>
      </c>
      <c r="Q1194" s="3">
        <f t="shared" si="104"/>
        <v>5.5000070166040225E-6</v>
      </c>
      <c r="R1194" s="3">
        <f t="shared" si="100"/>
        <v>2.7500035083020112E-5</v>
      </c>
      <c r="S1194" s="3">
        <f t="shared" si="102"/>
        <v>0.23436017066120646</v>
      </c>
      <c r="T1194" s="20">
        <f t="shared" si="103"/>
        <v>0.11000014033208046</v>
      </c>
      <c r="U1194" s="20"/>
    </row>
    <row r="1195" spans="15:21" x14ac:dyDescent="0.35">
      <c r="O1195" s="18">
        <v>5</v>
      </c>
      <c r="P1195" s="18">
        <f t="shared" si="101"/>
        <v>5965</v>
      </c>
      <c r="Q1195" s="3">
        <f t="shared" si="104"/>
        <v>5.4898052596603639E-6</v>
      </c>
      <c r="R1195" s="3">
        <f t="shared" si="100"/>
        <v>2.7449026298301821E-5</v>
      </c>
      <c r="S1195" s="3">
        <f t="shared" si="102"/>
        <v>0.23438767069628949</v>
      </c>
      <c r="T1195" s="20">
        <f t="shared" si="103"/>
        <v>0.10979610519320729</v>
      </c>
      <c r="U1195" s="20"/>
    </row>
    <row r="1196" spans="15:21" x14ac:dyDescent="0.35">
      <c r="O1196" s="18">
        <v>5</v>
      </c>
      <c r="P1196" s="18">
        <f t="shared" si="101"/>
        <v>5970</v>
      </c>
      <c r="Q1196" s="3">
        <f t="shared" si="104"/>
        <v>5.4796243928991301E-6</v>
      </c>
      <c r="R1196" s="3">
        <f t="shared" si="100"/>
        <v>2.739812196449565E-5</v>
      </c>
      <c r="S1196" s="3">
        <f t="shared" si="102"/>
        <v>0.2344151197225878</v>
      </c>
      <c r="T1196" s="20">
        <f t="shared" si="103"/>
        <v>0.1095924878579826</v>
      </c>
      <c r="U1196" s="20"/>
    </row>
    <row r="1197" spans="15:21" x14ac:dyDescent="0.35">
      <c r="O1197" s="18">
        <v>5</v>
      </c>
      <c r="P1197" s="18">
        <f t="shared" si="101"/>
        <v>5975</v>
      </c>
      <c r="Q1197" s="3">
        <f t="shared" si="104"/>
        <v>5.4694643660656379E-6</v>
      </c>
      <c r="R1197" s="3">
        <f t="shared" si="100"/>
        <v>2.7347321830328189E-5</v>
      </c>
      <c r="S1197" s="3">
        <f t="shared" si="102"/>
        <v>0.23444251784455231</v>
      </c>
      <c r="T1197" s="20">
        <f t="shared" si="103"/>
        <v>0.10938928732131276</v>
      </c>
      <c r="U1197" s="20"/>
    </row>
    <row r="1198" spans="15:21" x14ac:dyDescent="0.35">
      <c r="O1198" s="18">
        <v>5</v>
      </c>
      <c r="P1198" s="18">
        <f t="shared" si="101"/>
        <v>5980</v>
      </c>
      <c r="Q1198" s="3">
        <f t="shared" si="104"/>
        <v>5.4593251290550541E-6</v>
      </c>
      <c r="R1198" s="3">
        <f t="shared" si="100"/>
        <v>2.729662564527527E-5</v>
      </c>
      <c r="S1198" s="3">
        <f t="shared" si="102"/>
        <v>0.23446986516638263</v>
      </c>
      <c r="T1198" s="20">
        <f t="shared" si="103"/>
        <v>0.10918650258110109</v>
      </c>
      <c r="U1198" s="20"/>
    </row>
    <row r="1199" spans="15:21" x14ac:dyDescent="0.35">
      <c r="O1199" s="18">
        <v>5</v>
      </c>
      <c r="P1199" s="18">
        <f t="shared" si="101"/>
        <v>5985</v>
      </c>
      <c r="Q1199" s="3">
        <f t="shared" si="104"/>
        <v>5.4492066319118219E-6</v>
      </c>
      <c r="R1199" s="3">
        <f t="shared" si="100"/>
        <v>2.724603315955911E-5</v>
      </c>
      <c r="S1199" s="3">
        <f t="shared" si="102"/>
        <v>0.2344971617920279</v>
      </c>
      <c r="T1199" s="20">
        <f t="shared" si="103"/>
        <v>0.10898413263823643</v>
      </c>
      <c r="U1199" s="20"/>
    </row>
    <row r="1200" spans="15:21" x14ac:dyDescent="0.35">
      <c r="O1200" s="18">
        <v>5</v>
      </c>
      <c r="P1200" s="18">
        <f t="shared" si="101"/>
        <v>5990</v>
      </c>
      <c r="Q1200" s="3">
        <f t="shared" si="104"/>
        <v>5.4391088248291046E-6</v>
      </c>
      <c r="R1200" s="3">
        <f t="shared" si="100"/>
        <v>2.7195544124145524E-5</v>
      </c>
      <c r="S1200" s="3">
        <f t="shared" si="102"/>
        <v>0.23452440782518746</v>
      </c>
      <c r="T1200" s="20">
        <f t="shared" si="103"/>
        <v>0.1087821764965821</v>
      </c>
      <c r="U1200" s="20"/>
    </row>
    <row r="1201" spans="15:21" x14ac:dyDescent="0.35">
      <c r="O1201" s="18">
        <v>5</v>
      </c>
      <c r="P1201" s="18">
        <f t="shared" si="101"/>
        <v>5995</v>
      </c>
      <c r="Q1201" s="3">
        <f t="shared" si="104"/>
        <v>5.4290316581482539E-6</v>
      </c>
      <c r="R1201" s="3">
        <f t="shared" si="100"/>
        <v>2.7145158290741271E-5</v>
      </c>
      <c r="S1201" s="3">
        <f t="shared" si="102"/>
        <v>0.23455160336931161</v>
      </c>
      <c r="T1201" s="20">
        <f t="shared" si="103"/>
        <v>0.10858063316296507</v>
      </c>
      <c r="U1201" s="20"/>
    </row>
    <row r="1202" spans="15:21" x14ac:dyDescent="0.35">
      <c r="O1202" s="18">
        <v>5</v>
      </c>
      <c r="P1202" s="18">
        <f t="shared" si="101"/>
        <v>6000</v>
      </c>
      <c r="Q1202" s="3">
        <f t="shared" si="104"/>
        <v>5.4189750823582206E-6</v>
      </c>
      <c r="R1202" s="3">
        <f t="shared" si="100"/>
        <v>2.7094875411791104E-5</v>
      </c>
      <c r="S1202" s="3">
        <f t="shared" si="102"/>
        <v>0.23457874852760235</v>
      </c>
      <c r="T1202" s="20">
        <f t="shared" si="103"/>
        <v>0.10837950164716441</v>
      </c>
      <c r="U1202" s="20"/>
    </row>
    <row r="1203" spans="15:21" x14ac:dyDescent="0.35">
      <c r="O1203" s="18">
        <v>5</v>
      </c>
      <c r="P1203" s="18">
        <f t="shared" si="101"/>
        <v>6005</v>
      </c>
      <c r="Q1203" s="3">
        <f t="shared" si="104"/>
        <v>5.4089390480950314E-6</v>
      </c>
      <c r="R1203" s="3">
        <f t="shared" si="100"/>
        <v>2.7044695240475156E-5</v>
      </c>
      <c r="S1203" s="3">
        <f t="shared" si="102"/>
        <v>0.23460584340301416</v>
      </c>
      <c r="T1203" s="20">
        <f t="shared" si="103"/>
        <v>0.10817878096190062</v>
      </c>
      <c r="U1203" s="20"/>
    </row>
    <row r="1204" spans="15:21" x14ac:dyDescent="0.35">
      <c r="O1204" s="18">
        <v>5</v>
      </c>
      <c r="P1204" s="18">
        <f t="shared" si="101"/>
        <v>6010</v>
      </c>
      <c r="Q1204" s="3">
        <f t="shared" si="104"/>
        <v>5.3989235061412347E-6</v>
      </c>
      <c r="R1204" s="3">
        <f t="shared" si="100"/>
        <v>2.6994617530706173E-5</v>
      </c>
      <c r="S1204" s="3">
        <f t="shared" si="102"/>
        <v>0.23463288809825464</v>
      </c>
      <c r="T1204" s="20">
        <f t="shared" si="103"/>
        <v>0.10797847012282469</v>
      </c>
      <c r="U1204" s="20"/>
    </row>
    <row r="1205" spans="15:21" x14ac:dyDescent="0.35">
      <c r="O1205" s="18">
        <v>5</v>
      </c>
      <c r="P1205" s="18">
        <f t="shared" si="101"/>
        <v>6015</v>
      </c>
      <c r="Q1205" s="3">
        <f t="shared" si="104"/>
        <v>5.388928407425355E-6</v>
      </c>
      <c r="R1205" s="3">
        <f t="shared" si="100"/>
        <v>2.6944642037126777E-5</v>
      </c>
      <c r="S1205" s="3">
        <f t="shared" si="102"/>
        <v>0.23465988271578533</v>
      </c>
      <c r="T1205" s="20">
        <f t="shared" si="103"/>
        <v>0.10777856814850711</v>
      </c>
      <c r="U1205" s="20"/>
    </row>
    <row r="1206" spans="15:21" x14ac:dyDescent="0.35">
      <c r="O1206" s="18">
        <v>5</v>
      </c>
      <c r="P1206" s="18">
        <f t="shared" si="101"/>
        <v>6020</v>
      </c>
      <c r="Q1206" s="3">
        <f t="shared" si="104"/>
        <v>5.3789537030213308E-6</v>
      </c>
      <c r="R1206" s="3">
        <f t="shared" si="100"/>
        <v>2.6894768515106652E-5</v>
      </c>
      <c r="S1206" s="3">
        <f t="shared" si="102"/>
        <v>0.23468682735782245</v>
      </c>
      <c r="T1206" s="20">
        <f t="shared" si="103"/>
        <v>0.1075790740604266</v>
      </c>
      <c r="U1206" s="20"/>
    </row>
    <row r="1207" spans="15:21" x14ac:dyDescent="0.35">
      <c r="O1207" s="18">
        <v>5</v>
      </c>
      <c r="P1207" s="18">
        <f t="shared" si="101"/>
        <v>6025</v>
      </c>
      <c r="Q1207" s="3">
        <f t="shared" si="104"/>
        <v>5.3689993441479994E-6</v>
      </c>
      <c r="R1207" s="3">
        <f t="shared" si="100"/>
        <v>2.6844996720739996E-5</v>
      </c>
      <c r="S1207" s="3">
        <f t="shared" si="102"/>
        <v>0.23471372212633757</v>
      </c>
      <c r="T1207" s="20">
        <f t="shared" si="103"/>
        <v>0.10737998688295998</v>
      </c>
      <c r="U1207" s="20"/>
    </row>
    <row r="1208" spans="15:21" x14ac:dyDescent="0.35">
      <c r="O1208" s="18">
        <v>5</v>
      </c>
      <c r="P1208" s="18">
        <f t="shared" si="101"/>
        <v>6030</v>
      </c>
      <c r="Q1208" s="3">
        <f t="shared" si="104"/>
        <v>5.3590652821685631E-6</v>
      </c>
      <c r="R1208" s="3">
        <f t="shared" si="100"/>
        <v>2.6795326410842816E-5</v>
      </c>
      <c r="S1208" s="3">
        <f t="shared" si="102"/>
        <v>0.2347405671230583</v>
      </c>
      <c r="T1208" s="20">
        <f t="shared" si="103"/>
        <v>0.10718130564337125</v>
      </c>
      <c r="U1208" s="20"/>
    </row>
    <row r="1209" spans="15:21" x14ac:dyDescent="0.35">
      <c r="O1209" s="18">
        <v>5</v>
      </c>
      <c r="P1209" s="18">
        <f t="shared" si="101"/>
        <v>6035</v>
      </c>
      <c r="Q1209" s="3">
        <f t="shared" si="104"/>
        <v>5.3491514685900229E-6</v>
      </c>
      <c r="R1209" s="3">
        <f t="shared" si="100"/>
        <v>2.6745757342950115E-5</v>
      </c>
      <c r="S1209" s="3">
        <f t="shared" si="102"/>
        <v>0.23476736244946914</v>
      </c>
      <c r="T1209" s="20">
        <f t="shared" si="103"/>
        <v>0.10698302937180046</v>
      </c>
      <c r="U1209" s="20"/>
    </row>
    <row r="1210" spans="15:21" x14ac:dyDescent="0.35">
      <c r="O1210" s="18">
        <v>5</v>
      </c>
      <c r="P1210" s="18">
        <f t="shared" si="101"/>
        <v>6040</v>
      </c>
      <c r="Q1210" s="3">
        <f t="shared" si="104"/>
        <v>5.3392578550626685E-6</v>
      </c>
      <c r="R1210" s="3">
        <f t="shared" si="100"/>
        <v>2.6696289275313342E-5</v>
      </c>
      <c r="S1210" s="3">
        <f t="shared" si="102"/>
        <v>0.2347941082068121</v>
      </c>
      <c r="T1210" s="20">
        <f t="shared" si="103"/>
        <v>0.10678515710125337</v>
      </c>
      <c r="U1210" s="20"/>
    </row>
    <row r="1211" spans="15:21" x14ac:dyDescent="0.35">
      <c r="O1211" s="18">
        <v>5</v>
      </c>
      <c r="P1211" s="18">
        <f t="shared" si="101"/>
        <v>6045</v>
      </c>
      <c r="Q1211" s="3">
        <f t="shared" si="104"/>
        <v>5.3293843933795535E-6</v>
      </c>
      <c r="R1211" s="3">
        <f t="shared" si="100"/>
        <v>2.6646921966897767E-5</v>
      </c>
      <c r="S1211" s="3">
        <f t="shared" si="102"/>
        <v>0.23482080449608742</v>
      </c>
      <c r="T1211" s="20">
        <f t="shared" si="103"/>
        <v>0.10658768786759107</v>
      </c>
      <c r="U1211" s="20"/>
    </row>
    <row r="1212" spans="15:21" x14ac:dyDescent="0.35">
      <c r="O1212" s="18">
        <v>5</v>
      </c>
      <c r="P1212" s="18">
        <f t="shared" si="101"/>
        <v>6050</v>
      </c>
      <c r="Q1212" s="3">
        <f t="shared" si="104"/>
        <v>5.3195310354759432E-6</v>
      </c>
      <c r="R1212" s="3">
        <f t="shared" si="100"/>
        <v>2.6597655177379715E-5</v>
      </c>
      <c r="S1212" s="3">
        <f t="shared" si="102"/>
        <v>0.23484745141805433</v>
      </c>
      <c r="T1212" s="20">
        <f t="shared" si="103"/>
        <v>0.10639062070951888</v>
      </c>
      <c r="U1212" s="20"/>
    </row>
    <row r="1213" spans="15:21" x14ac:dyDescent="0.35">
      <c r="O1213" s="18">
        <v>5</v>
      </c>
      <c r="P1213" s="18">
        <f t="shared" si="101"/>
        <v>6055</v>
      </c>
      <c r="Q1213" s="3">
        <f t="shared" si="104"/>
        <v>5.3096977334288201E-6</v>
      </c>
      <c r="R1213" s="3">
        <f t="shared" si="100"/>
        <v>2.65484886671441E-5</v>
      </c>
      <c r="S1213" s="3">
        <f t="shared" si="102"/>
        <v>0.2348740490732317</v>
      </c>
      <c r="T1213" s="20">
        <f t="shared" si="103"/>
        <v>0.1061939546685764</v>
      </c>
      <c r="U1213" s="20"/>
    </row>
    <row r="1214" spans="15:21" x14ac:dyDescent="0.35">
      <c r="O1214" s="18">
        <v>5</v>
      </c>
      <c r="P1214" s="18">
        <f t="shared" si="101"/>
        <v>6060</v>
      </c>
      <c r="Q1214" s="3">
        <f t="shared" si="104"/>
        <v>5.299884439456316E-6</v>
      </c>
      <c r="R1214" s="3">
        <f t="shared" si="100"/>
        <v>2.6499422197281579E-5</v>
      </c>
      <c r="S1214" s="3">
        <f t="shared" si="102"/>
        <v>0.23490059756189885</v>
      </c>
      <c r="T1214" s="20">
        <f t="shared" si="103"/>
        <v>0.10599768878912631</v>
      </c>
      <c r="U1214" s="20"/>
    </row>
    <row r="1215" spans="15:21" x14ac:dyDescent="0.35">
      <c r="O1215" s="18">
        <v>5</v>
      </c>
      <c r="P1215" s="18">
        <f t="shared" si="101"/>
        <v>6065</v>
      </c>
      <c r="Q1215" s="3">
        <f t="shared" si="104"/>
        <v>5.2900911059172365E-6</v>
      </c>
      <c r="R1215" s="3">
        <f t="shared" si="100"/>
        <v>2.6450455529586182E-5</v>
      </c>
      <c r="S1215" s="3">
        <f t="shared" si="102"/>
        <v>0.23492709698409614</v>
      </c>
      <c r="T1215" s="20">
        <f t="shared" si="103"/>
        <v>0.10580182211834474</v>
      </c>
      <c r="U1215" s="20"/>
    </row>
    <row r="1216" spans="15:21" x14ac:dyDescent="0.35">
      <c r="O1216" s="18">
        <v>5</v>
      </c>
      <c r="P1216" s="18">
        <f t="shared" si="101"/>
        <v>6070</v>
      </c>
      <c r="Q1216" s="3">
        <f t="shared" si="104"/>
        <v>5.2803176853105169E-6</v>
      </c>
      <c r="R1216" s="3">
        <f t="shared" si="100"/>
        <v>2.6401588426552584E-5</v>
      </c>
      <c r="S1216" s="3">
        <f t="shared" si="102"/>
        <v>0.23495354743962574</v>
      </c>
      <c r="T1216" s="20">
        <f t="shared" si="103"/>
        <v>0.10560635370621035</v>
      </c>
      <c r="U1216" s="20"/>
    </row>
    <row r="1217" spans="15:21" x14ac:dyDescent="0.35">
      <c r="O1217" s="18">
        <v>5</v>
      </c>
      <c r="P1217" s="18">
        <f t="shared" si="101"/>
        <v>6075</v>
      </c>
      <c r="Q1217" s="3">
        <f t="shared" si="104"/>
        <v>5.2705641302747225E-6</v>
      </c>
      <c r="R1217" s="3">
        <f t="shared" si="100"/>
        <v>2.6352820651373613E-5</v>
      </c>
      <c r="S1217" s="3">
        <f t="shared" si="102"/>
        <v>0.23497994902805228</v>
      </c>
      <c r="T1217" s="20">
        <f t="shared" si="103"/>
        <v>0.10541128260549447</v>
      </c>
      <c r="U1217" s="20"/>
    </row>
    <row r="1218" spans="15:21" x14ac:dyDescent="0.35">
      <c r="O1218" s="18">
        <v>5</v>
      </c>
      <c r="P1218" s="18">
        <f t="shared" si="101"/>
        <v>6080</v>
      </c>
      <c r="Q1218" s="3">
        <f t="shared" si="104"/>
        <v>5.2608303935874963E-6</v>
      </c>
      <c r="R1218" s="3">
        <f t="shared" ref="R1218:R1281" si="105">Q1218*O1218</f>
        <v>2.6304151967937482E-5</v>
      </c>
      <c r="S1218" s="3">
        <f t="shared" si="102"/>
        <v>0.23500630184870366</v>
      </c>
      <c r="T1218" s="20">
        <f t="shared" si="103"/>
        <v>0.10521660787174993</v>
      </c>
      <c r="U1218" s="20"/>
    </row>
    <row r="1219" spans="15:21" x14ac:dyDescent="0.35">
      <c r="O1219" s="18">
        <v>5</v>
      </c>
      <c r="P1219" s="18">
        <f t="shared" ref="P1219:P1282" si="106">O1219+P1218</f>
        <v>6085</v>
      </c>
      <c r="Q1219" s="3">
        <f t="shared" si="104"/>
        <v>5.251116428165104E-6</v>
      </c>
      <c r="R1219" s="3">
        <f t="shared" si="105"/>
        <v>2.625558214082552E-5</v>
      </c>
      <c r="S1219" s="3">
        <f t="shared" ref="S1219:S1282" si="107">S1218+R1218</f>
        <v>0.23503260600067161</v>
      </c>
      <c r="T1219" s="20">
        <f t="shared" ref="T1219:T1282" si="108">Q1219*$B$9*$B$2*0.5/$B$11</f>
        <v>0.10502232856330207</v>
      </c>
      <c r="U1219" s="20"/>
    </row>
    <row r="1220" spans="15:21" x14ac:dyDescent="0.35">
      <c r="O1220" s="18">
        <v>5</v>
      </c>
      <c r="P1220" s="18">
        <f t="shared" si="106"/>
        <v>6090</v>
      </c>
      <c r="Q1220" s="3">
        <f t="shared" ref="Q1220:Q1283" si="109">$T$2*(1-(S1220/$B$12))/($B$9*((0.5*$B$2/$B$11)+(S1220/$B$10)))</f>
        <v>5.2414221870618796E-6</v>
      </c>
      <c r="R1220" s="3">
        <f t="shared" si="105"/>
        <v>2.6207110935309399E-5</v>
      </c>
      <c r="S1220" s="3">
        <f t="shared" si="107"/>
        <v>0.23505886158281245</v>
      </c>
      <c r="T1220" s="20">
        <f t="shared" si="108"/>
        <v>0.10482844374123761</v>
      </c>
      <c r="U1220" s="20"/>
    </row>
    <row r="1221" spans="15:21" x14ac:dyDescent="0.35">
      <c r="O1221" s="18">
        <v>5</v>
      </c>
      <c r="P1221" s="18">
        <f t="shared" si="106"/>
        <v>6095</v>
      </c>
      <c r="Q1221" s="3">
        <f t="shared" si="109"/>
        <v>5.2317476234697415E-6</v>
      </c>
      <c r="R1221" s="3">
        <f t="shared" si="105"/>
        <v>2.6158738117348708E-5</v>
      </c>
      <c r="S1221" s="3">
        <f t="shared" si="107"/>
        <v>0.23508506869374776</v>
      </c>
      <c r="T1221" s="20">
        <f t="shared" si="108"/>
        <v>0.10463495246939485</v>
      </c>
      <c r="U1221" s="20"/>
    </row>
    <row r="1222" spans="15:21" x14ac:dyDescent="0.35">
      <c r="O1222" s="18">
        <v>5</v>
      </c>
      <c r="P1222" s="18">
        <f t="shared" si="106"/>
        <v>6100</v>
      </c>
      <c r="Q1222" s="3">
        <f t="shared" si="109"/>
        <v>5.2220926907176782E-6</v>
      </c>
      <c r="R1222" s="3">
        <f t="shared" si="105"/>
        <v>2.6110463453588392E-5</v>
      </c>
      <c r="S1222" s="3">
        <f t="shared" si="107"/>
        <v>0.23511122743186511</v>
      </c>
      <c r="T1222" s="20">
        <f t="shared" si="108"/>
        <v>0.10444185381435356</v>
      </c>
      <c r="U1222" s="20"/>
    </row>
    <row r="1223" spans="15:21" x14ac:dyDescent="0.35">
      <c r="O1223" s="18">
        <v>5</v>
      </c>
      <c r="P1223" s="18">
        <f t="shared" si="106"/>
        <v>6105</v>
      </c>
      <c r="Q1223" s="3">
        <f t="shared" si="109"/>
        <v>5.2124573422712446E-6</v>
      </c>
      <c r="R1223" s="3">
        <f t="shared" si="105"/>
        <v>2.6062286711356224E-5</v>
      </c>
      <c r="S1223" s="3">
        <f t="shared" si="107"/>
        <v>0.23513733789531868</v>
      </c>
      <c r="T1223" s="20">
        <f t="shared" si="108"/>
        <v>0.10424914684542488</v>
      </c>
      <c r="U1223" s="20"/>
    </row>
    <row r="1224" spans="15:21" x14ac:dyDescent="0.35">
      <c r="O1224" s="18">
        <v>5</v>
      </c>
      <c r="P1224" s="18">
        <f t="shared" si="106"/>
        <v>6110</v>
      </c>
      <c r="Q1224" s="3">
        <f t="shared" si="109"/>
        <v>5.202841531732063E-6</v>
      </c>
      <c r="R1224" s="3">
        <f t="shared" si="105"/>
        <v>2.6014207658660316E-5</v>
      </c>
      <c r="S1224" s="3">
        <f t="shared" si="107"/>
        <v>0.23516340018203002</v>
      </c>
      <c r="T1224" s="20">
        <f t="shared" si="108"/>
        <v>0.10405683063464126</v>
      </c>
      <c r="U1224" s="20"/>
    </row>
    <row r="1225" spans="15:21" x14ac:dyDescent="0.35">
      <c r="O1225" s="18">
        <v>5</v>
      </c>
      <c r="P1225" s="18">
        <f t="shared" si="106"/>
        <v>6115</v>
      </c>
      <c r="Q1225" s="3">
        <f t="shared" si="109"/>
        <v>5.1932452128373232E-6</v>
      </c>
      <c r="R1225" s="3">
        <f t="shared" si="105"/>
        <v>2.5966226064186615E-5</v>
      </c>
      <c r="S1225" s="3">
        <f t="shared" si="107"/>
        <v>0.23518941438968868</v>
      </c>
      <c r="T1225" s="20">
        <f t="shared" si="108"/>
        <v>0.10386490425674648</v>
      </c>
      <c r="U1225" s="20"/>
    </row>
    <row r="1226" spans="15:21" x14ac:dyDescent="0.35">
      <c r="O1226" s="18">
        <v>5</v>
      </c>
      <c r="P1226" s="18">
        <f t="shared" si="106"/>
        <v>6120</v>
      </c>
      <c r="Q1226" s="3">
        <f t="shared" si="109"/>
        <v>5.1836683394592999E-6</v>
      </c>
      <c r="R1226" s="3">
        <f t="shared" si="105"/>
        <v>2.59183416972965E-5</v>
      </c>
      <c r="S1226" s="3">
        <f t="shared" si="107"/>
        <v>0.23521538061575287</v>
      </c>
      <c r="T1226" s="20">
        <f t="shared" si="108"/>
        <v>0.10367336678918601</v>
      </c>
      <c r="U1226" s="20"/>
    </row>
    <row r="1227" spans="15:21" x14ac:dyDescent="0.35">
      <c r="O1227" s="18">
        <v>5</v>
      </c>
      <c r="P1227" s="18">
        <f t="shared" si="106"/>
        <v>6125</v>
      </c>
      <c r="Q1227" s="3">
        <f t="shared" si="109"/>
        <v>5.1741108656048434E-6</v>
      </c>
      <c r="R1227" s="3">
        <f t="shared" si="105"/>
        <v>2.5870554328024219E-5</v>
      </c>
      <c r="S1227" s="3">
        <f t="shared" si="107"/>
        <v>0.23524129895745016</v>
      </c>
      <c r="T1227" s="20">
        <f t="shared" si="108"/>
        <v>0.10348221731209686</v>
      </c>
      <c r="U1227" s="20"/>
    </row>
    <row r="1228" spans="15:21" x14ac:dyDescent="0.35">
      <c r="O1228" s="18">
        <v>5</v>
      </c>
      <c r="P1228" s="18">
        <f t="shared" si="106"/>
        <v>6130</v>
      </c>
      <c r="Q1228" s="3">
        <f t="shared" si="109"/>
        <v>5.1645727454148981E-6</v>
      </c>
      <c r="R1228" s="3">
        <f t="shared" si="105"/>
        <v>2.582286372707449E-5</v>
      </c>
      <c r="S1228" s="3">
        <f t="shared" si="107"/>
        <v>0.23526716951177817</v>
      </c>
      <c r="T1228" s="20">
        <f t="shared" si="108"/>
        <v>0.10329145490829796</v>
      </c>
      <c r="U1228" s="20"/>
    </row>
    <row r="1229" spans="15:21" x14ac:dyDescent="0.35">
      <c r="O1229" s="18">
        <v>5</v>
      </c>
      <c r="P1229" s="18">
        <f t="shared" si="106"/>
        <v>6135</v>
      </c>
      <c r="Q1229" s="3">
        <f t="shared" si="109"/>
        <v>5.1550539331639962E-6</v>
      </c>
      <c r="R1229" s="3">
        <f t="shared" si="105"/>
        <v>2.5775269665819981E-5</v>
      </c>
      <c r="S1229" s="3">
        <f t="shared" si="107"/>
        <v>0.23529299237550524</v>
      </c>
      <c r="T1229" s="20">
        <f t="shared" si="108"/>
        <v>0.10310107866327993</v>
      </c>
      <c r="U1229" s="20"/>
    </row>
    <row r="1230" spans="15:21" x14ac:dyDescent="0.35">
      <c r="O1230" s="18">
        <v>5</v>
      </c>
      <c r="P1230" s="18">
        <f t="shared" si="106"/>
        <v>6140</v>
      </c>
      <c r="Q1230" s="3">
        <f t="shared" si="109"/>
        <v>5.1455543832597915E-6</v>
      </c>
      <c r="R1230" s="3">
        <f t="shared" si="105"/>
        <v>2.5727771916298957E-5</v>
      </c>
      <c r="S1230" s="3">
        <f t="shared" si="107"/>
        <v>0.23531876764517107</v>
      </c>
      <c r="T1230" s="20">
        <f t="shared" si="108"/>
        <v>0.10291108766519584</v>
      </c>
      <c r="U1230" s="20"/>
    </row>
    <row r="1231" spans="15:21" x14ac:dyDescent="0.35">
      <c r="O1231" s="18">
        <v>5</v>
      </c>
      <c r="P1231" s="18">
        <f t="shared" si="106"/>
        <v>6145</v>
      </c>
      <c r="Q1231" s="3">
        <f t="shared" si="109"/>
        <v>5.1360740502425643E-6</v>
      </c>
      <c r="R1231" s="3">
        <f t="shared" si="105"/>
        <v>2.5680370251212822E-5</v>
      </c>
      <c r="S1231" s="3">
        <f t="shared" si="107"/>
        <v>0.23534449541708738</v>
      </c>
      <c r="T1231" s="20">
        <f t="shared" si="108"/>
        <v>0.1027214810048513</v>
      </c>
      <c r="U1231" s="20"/>
    </row>
    <row r="1232" spans="15:21" x14ac:dyDescent="0.35">
      <c r="O1232" s="18">
        <v>5</v>
      </c>
      <c r="P1232" s="18">
        <f t="shared" si="106"/>
        <v>6150</v>
      </c>
      <c r="Q1232" s="3">
        <f t="shared" si="109"/>
        <v>5.1266128887847459E-6</v>
      </c>
      <c r="R1232" s="3">
        <f t="shared" si="105"/>
        <v>2.5633064443923729E-5</v>
      </c>
      <c r="S1232" s="3">
        <f t="shared" si="107"/>
        <v>0.2353701757873386</v>
      </c>
      <c r="T1232" s="20">
        <f t="shared" si="108"/>
        <v>0.10253225777569493</v>
      </c>
      <c r="U1232" s="20"/>
    </row>
    <row r="1233" spans="15:21" x14ac:dyDescent="0.35">
      <c r="O1233" s="18">
        <v>5</v>
      </c>
      <c r="P1233" s="18">
        <f t="shared" si="106"/>
        <v>6155</v>
      </c>
      <c r="Q1233" s="3">
        <f t="shared" si="109"/>
        <v>5.1171708536904309E-6</v>
      </c>
      <c r="R1233" s="3">
        <f t="shared" si="105"/>
        <v>2.5585854268452154E-5</v>
      </c>
      <c r="S1233" s="3">
        <f t="shared" si="107"/>
        <v>0.23539580885178252</v>
      </c>
      <c r="T1233" s="20">
        <f t="shared" si="108"/>
        <v>0.10234341707380862</v>
      </c>
      <c r="U1233" s="20"/>
    </row>
    <row r="1234" spans="15:21" x14ac:dyDescent="0.35">
      <c r="O1234" s="18">
        <v>5</v>
      </c>
      <c r="P1234" s="18">
        <f t="shared" si="106"/>
        <v>6160</v>
      </c>
      <c r="Q1234" s="3">
        <f t="shared" si="109"/>
        <v>5.1077478998948865E-6</v>
      </c>
      <c r="R1234" s="3">
        <f t="shared" si="105"/>
        <v>2.5538739499474431E-5</v>
      </c>
      <c r="S1234" s="3">
        <f t="shared" si="107"/>
        <v>0.23542139470605097</v>
      </c>
      <c r="T1234" s="20">
        <f t="shared" si="108"/>
        <v>0.10215495799789774</v>
      </c>
      <c r="U1234" s="20"/>
    </row>
    <row r="1235" spans="15:21" x14ac:dyDescent="0.35">
      <c r="O1235" s="18">
        <v>5</v>
      </c>
      <c r="P1235" s="18">
        <f t="shared" si="106"/>
        <v>6165</v>
      </c>
      <c r="Q1235" s="3">
        <f t="shared" si="109"/>
        <v>5.0983439824641017E-6</v>
      </c>
      <c r="R1235" s="3">
        <f t="shared" si="105"/>
        <v>2.5491719912320509E-5</v>
      </c>
      <c r="S1235" s="3">
        <f t="shared" si="107"/>
        <v>0.23544693344555045</v>
      </c>
      <c r="T1235" s="20">
        <f t="shared" si="108"/>
        <v>0.10196687964928203</v>
      </c>
      <c r="U1235" s="20"/>
    </row>
    <row r="1236" spans="15:21" x14ac:dyDescent="0.35">
      <c r="O1236" s="18">
        <v>5</v>
      </c>
      <c r="P1236" s="18">
        <f t="shared" si="106"/>
        <v>6170</v>
      </c>
      <c r="Q1236" s="3">
        <f t="shared" si="109"/>
        <v>5.0889590565943059E-6</v>
      </c>
      <c r="R1236" s="3">
        <f t="shared" si="105"/>
        <v>2.5444795282971529E-5</v>
      </c>
      <c r="S1236" s="3">
        <f t="shared" si="107"/>
        <v>0.23547242516546277</v>
      </c>
      <c r="T1236" s="20">
        <f t="shared" si="108"/>
        <v>0.10177918113188611</v>
      </c>
      <c r="U1236" s="20"/>
    </row>
    <row r="1237" spans="15:21" x14ac:dyDescent="0.35">
      <c r="O1237" s="18">
        <v>5</v>
      </c>
      <c r="P1237" s="18">
        <f t="shared" si="106"/>
        <v>6175</v>
      </c>
      <c r="Q1237" s="3">
        <f t="shared" si="109"/>
        <v>5.0795930776114771E-6</v>
      </c>
      <c r="R1237" s="3">
        <f t="shared" si="105"/>
        <v>2.5397965388057385E-5</v>
      </c>
      <c r="S1237" s="3">
        <f t="shared" si="107"/>
        <v>0.23549786996074573</v>
      </c>
      <c r="T1237" s="20">
        <f t="shared" si="108"/>
        <v>0.10159186155222956</v>
      </c>
      <c r="U1237" s="20"/>
    </row>
    <row r="1238" spans="15:21" x14ac:dyDescent="0.35">
      <c r="O1238" s="18">
        <v>5</v>
      </c>
      <c r="P1238" s="18">
        <f t="shared" si="106"/>
        <v>6180</v>
      </c>
      <c r="Q1238" s="3">
        <f t="shared" si="109"/>
        <v>5.0702460009708897E-6</v>
      </c>
      <c r="R1238" s="3">
        <f t="shared" si="105"/>
        <v>2.5351230004854448E-5</v>
      </c>
      <c r="S1238" s="3">
        <f t="shared" si="107"/>
        <v>0.23552326792613379</v>
      </c>
      <c r="T1238" s="20">
        <f t="shared" si="108"/>
        <v>0.10140492001941778</v>
      </c>
      <c r="U1238" s="20"/>
    </row>
    <row r="1239" spans="15:21" x14ac:dyDescent="0.35">
      <c r="O1239" s="18">
        <v>5</v>
      </c>
      <c r="P1239" s="18">
        <f t="shared" si="106"/>
        <v>6185</v>
      </c>
      <c r="Q1239" s="3">
        <f t="shared" si="109"/>
        <v>5.0609177822566523E-6</v>
      </c>
      <c r="R1239" s="3">
        <f t="shared" si="105"/>
        <v>2.5304588911283261E-5</v>
      </c>
      <c r="S1239" s="3">
        <f t="shared" si="107"/>
        <v>0.23554861915613864</v>
      </c>
      <c r="T1239" s="20">
        <f t="shared" si="108"/>
        <v>0.10121835564513305</v>
      </c>
      <c r="U1239" s="20"/>
    </row>
    <row r="1240" spans="15:21" x14ac:dyDescent="0.35">
      <c r="O1240" s="18">
        <v>5</v>
      </c>
      <c r="P1240" s="18">
        <f t="shared" si="106"/>
        <v>6190</v>
      </c>
      <c r="Q1240" s="3">
        <f t="shared" si="109"/>
        <v>5.0516083771812221E-6</v>
      </c>
      <c r="R1240" s="3">
        <f t="shared" si="105"/>
        <v>2.5258041885906111E-5</v>
      </c>
      <c r="S1240" s="3">
        <f t="shared" si="107"/>
        <v>0.23557392374504993</v>
      </c>
      <c r="T1240" s="20">
        <f t="shared" si="108"/>
        <v>0.10103216754362444</v>
      </c>
      <c r="U1240" s="20"/>
    </row>
    <row r="1241" spans="15:21" x14ac:dyDescent="0.35">
      <c r="O1241" s="18">
        <v>5</v>
      </c>
      <c r="P1241" s="18">
        <f t="shared" si="106"/>
        <v>6195</v>
      </c>
      <c r="Q1241" s="3">
        <f t="shared" si="109"/>
        <v>5.0423177415849591E-6</v>
      </c>
      <c r="R1241" s="3">
        <f t="shared" si="105"/>
        <v>2.5211588707924796E-5</v>
      </c>
      <c r="S1241" s="3">
        <f t="shared" si="107"/>
        <v>0.23559918178693584</v>
      </c>
      <c r="T1241" s="20">
        <f t="shared" si="108"/>
        <v>0.10084635483169918</v>
      </c>
      <c r="U1241" s="20"/>
    </row>
    <row r="1242" spans="15:21" x14ac:dyDescent="0.35">
      <c r="O1242" s="18">
        <v>5</v>
      </c>
      <c r="P1242" s="18">
        <f t="shared" si="106"/>
        <v>6200</v>
      </c>
      <c r="Q1242" s="3">
        <f t="shared" si="109"/>
        <v>5.0330458314356619E-6</v>
      </c>
      <c r="R1242" s="3">
        <f t="shared" si="105"/>
        <v>2.516522915717831E-5</v>
      </c>
      <c r="S1242" s="3">
        <f t="shared" si="107"/>
        <v>0.23562439337564375</v>
      </c>
      <c r="T1242" s="20">
        <f t="shared" si="108"/>
        <v>0.10066091662871324</v>
      </c>
      <c r="U1242" s="20"/>
    </row>
    <row r="1243" spans="15:21" x14ac:dyDescent="0.35">
      <c r="O1243" s="18">
        <v>5</v>
      </c>
      <c r="P1243" s="18">
        <f t="shared" si="106"/>
        <v>6205</v>
      </c>
      <c r="Q1243" s="3">
        <f t="shared" si="109"/>
        <v>5.0237926028280782E-6</v>
      </c>
      <c r="R1243" s="3">
        <f t="shared" si="105"/>
        <v>2.5118963014140392E-5</v>
      </c>
      <c r="S1243" s="3">
        <f t="shared" si="107"/>
        <v>0.23564955860480094</v>
      </c>
      <c r="T1243" s="20">
        <f t="shared" si="108"/>
        <v>0.10047585205656158</v>
      </c>
      <c r="U1243" s="20"/>
    </row>
    <row r="1244" spans="15:21" x14ac:dyDescent="0.35">
      <c r="O1244" s="18">
        <v>5</v>
      </c>
      <c r="P1244" s="18">
        <f t="shared" si="106"/>
        <v>6210</v>
      </c>
      <c r="Q1244" s="3">
        <f t="shared" si="109"/>
        <v>5.0145580119835057E-6</v>
      </c>
      <c r="R1244" s="3">
        <f t="shared" si="105"/>
        <v>2.5072790059917529E-5</v>
      </c>
      <c r="S1244" s="3">
        <f t="shared" si="107"/>
        <v>0.23567467756781507</v>
      </c>
      <c r="T1244" s="20">
        <f t="shared" si="108"/>
        <v>0.10029116023967012</v>
      </c>
      <c r="U1244" s="20"/>
    </row>
    <row r="1245" spans="15:21" x14ac:dyDescent="0.35">
      <c r="O1245" s="18">
        <v>5</v>
      </c>
      <c r="P1245" s="18">
        <f t="shared" si="106"/>
        <v>6215</v>
      </c>
      <c r="Q1245" s="3">
        <f t="shared" si="109"/>
        <v>5.0053420152492706E-6</v>
      </c>
      <c r="R1245" s="3">
        <f t="shared" si="105"/>
        <v>2.5026710076246351E-5</v>
      </c>
      <c r="S1245" s="3">
        <f t="shared" si="107"/>
        <v>0.23569975035787499</v>
      </c>
      <c r="T1245" s="20">
        <f t="shared" si="108"/>
        <v>0.1001068403049854</v>
      </c>
      <c r="U1245" s="20"/>
    </row>
    <row r="1246" spans="15:21" x14ac:dyDescent="0.35">
      <c r="O1246" s="18">
        <v>5</v>
      </c>
      <c r="P1246" s="18">
        <f t="shared" si="106"/>
        <v>6220</v>
      </c>
      <c r="Q1246" s="3">
        <f t="shared" si="109"/>
        <v>4.9961445690983224E-6</v>
      </c>
      <c r="R1246" s="3">
        <f t="shared" si="105"/>
        <v>2.4980722845491611E-5</v>
      </c>
      <c r="S1246" s="3">
        <f t="shared" si="107"/>
        <v>0.23572477706795125</v>
      </c>
      <c r="T1246" s="20">
        <f t="shared" si="108"/>
        <v>9.9922891381966444E-2</v>
      </c>
      <c r="U1246" s="20"/>
    </row>
    <row r="1247" spans="15:21" x14ac:dyDescent="0.35">
      <c r="O1247" s="18">
        <v>5</v>
      </c>
      <c r="P1247" s="18">
        <f t="shared" si="106"/>
        <v>6225</v>
      </c>
      <c r="Q1247" s="3">
        <f t="shared" si="109"/>
        <v>4.9869656301287735E-6</v>
      </c>
      <c r="R1247" s="3">
        <f t="shared" si="105"/>
        <v>2.4934828150643868E-5</v>
      </c>
      <c r="S1247" s="3">
        <f t="shared" si="107"/>
        <v>0.23574975779079674</v>
      </c>
      <c r="T1247" s="20">
        <f t="shared" si="108"/>
        <v>9.9739312602575458E-2</v>
      </c>
      <c r="U1247" s="20"/>
    </row>
    <row r="1248" spans="15:21" x14ac:dyDescent="0.35">
      <c r="O1248" s="18">
        <v>5</v>
      </c>
      <c r="P1248" s="18">
        <f t="shared" si="106"/>
        <v>6230</v>
      </c>
      <c r="Q1248" s="3">
        <f t="shared" si="109"/>
        <v>4.9778051550634235E-6</v>
      </c>
      <c r="R1248" s="3">
        <f t="shared" si="105"/>
        <v>2.4889025775317117E-5</v>
      </c>
      <c r="S1248" s="3">
        <f t="shared" si="107"/>
        <v>0.23577469261894737</v>
      </c>
      <c r="T1248" s="20">
        <f t="shared" si="108"/>
        <v>9.9556103101268459E-2</v>
      </c>
      <c r="U1248" s="20"/>
    </row>
    <row r="1249" spans="15:21" x14ac:dyDescent="0.35">
      <c r="O1249" s="18">
        <v>5</v>
      </c>
      <c r="P1249" s="18">
        <f t="shared" si="106"/>
        <v>6235</v>
      </c>
      <c r="Q1249" s="3">
        <f t="shared" si="109"/>
        <v>4.9686631007493285E-6</v>
      </c>
      <c r="R1249" s="3">
        <f t="shared" si="105"/>
        <v>2.4843315503746642E-5</v>
      </c>
      <c r="S1249" s="3">
        <f t="shared" si="107"/>
        <v>0.2357995816447227</v>
      </c>
      <c r="T1249" s="20">
        <f t="shared" si="108"/>
        <v>9.9373262014986585E-2</v>
      </c>
      <c r="U1249" s="20"/>
    </row>
    <row r="1250" spans="15:21" x14ac:dyDescent="0.35">
      <c r="O1250" s="18">
        <v>5</v>
      </c>
      <c r="P1250" s="18">
        <f t="shared" si="106"/>
        <v>6240</v>
      </c>
      <c r="Q1250" s="3">
        <f t="shared" si="109"/>
        <v>4.9595394241573707E-6</v>
      </c>
      <c r="R1250" s="3">
        <f t="shared" si="105"/>
        <v>2.4797697120786854E-5</v>
      </c>
      <c r="S1250" s="3">
        <f t="shared" si="107"/>
        <v>0.23582442496022646</v>
      </c>
      <c r="T1250" s="20">
        <f t="shared" si="108"/>
        <v>9.9190788483147427E-2</v>
      </c>
      <c r="U1250" s="20"/>
    </row>
    <row r="1251" spans="15:21" x14ac:dyDescent="0.35">
      <c r="O1251" s="18">
        <v>5</v>
      </c>
      <c r="P1251" s="18">
        <f t="shared" si="106"/>
        <v>6245</v>
      </c>
      <c r="Q1251" s="3">
        <f t="shared" si="109"/>
        <v>4.9504340823817906E-6</v>
      </c>
      <c r="R1251" s="3">
        <f t="shared" si="105"/>
        <v>2.4752170411908952E-5</v>
      </c>
      <c r="S1251" s="3">
        <f t="shared" si="107"/>
        <v>0.23584922265734726</v>
      </c>
      <c r="T1251" s="20">
        <f t="shared" si="108"/>
        <v>9.9008681647635807E-2</v>
      </c>
      <c r="U1251" s="20"/>
    </row>
    <row r="1252" spans="15:21" x14ac:dyDescent="0.35">
      <c r="O1252" s="18">
        <v>5</v>
      </c>
      <c r="P1252" s="18">
        <f t="shared" si="106"/>
        <v>6250</v>
      </c>
      <c r="Q1252" s="3">
        <f t="shared" si="109"/>
        <v>4.9413470326397673E-6</v>
      </c>
      <c r="R1252" s="3">
        <f t="shared" si="105"/>
        <v>2.4706735163198835E-5</v>
      </c>
      <c r="S1252" s="3">
        <f t="shared" si="107"/>
        <v>0.23587397482775915</v>
      </c>
      <c r="T1252" s="20">
        <f t="shared" si="108"/>
        <v>9.8826940652795348E-2</v>
      </c>
      <c r="U1252" s="20"/>
    </row>
    <row r="1253" spans="15:21" x14ac:dyDescent="0.35">
      <c r="O1253" s="18">
        <v>5</v>
      </c>
      <c r="P1253" s="18">
        <f t="shared" si="106"/>
        <v>6255</v>
      </c>
      <c r="Q1253" s="3">
        <f t="shared" si="109"/>
        <v>4.9322782322709438E-6</v>
      </c>
      <c r="R1253" s="3">
        <f t="shared" si="105"/>
        <v>2.4661391161354717E-5</v>
      </c>
      <c r="S1253" s="3">
        <f t="shared" si="107"/>
        <v>0.23589868156292235</v>
      </c>
      <c r="T1253" s="20">
        <f t="shared" si="108"/>
        <v>9.8645564645418876E-2</v>
      </c>
      <c r="U1253" s="20"/>
    </row>
    <row r="1254" spans="15:21" x14ac:dyDescent="0.35">
      <c r="O1254" s="18">
        <v>5</v>
      </c>
      <c r="P1254" s="18">
        <f t="shared" si="106"/>
        <v>6260</v>
      </c>
      <c r="Q1254" s="3">
        <f t="shared" si="109"/>
        <v>4.9232276387370172E-6</v>
      </c>
      <c r="R1254" s="3">
        <f t="shared" si="105"/>
        <v>2.4616138193685085E-5</v>
      </c>
      <c r="S1254" s="3">
        <f t="shared" si="107"/>
        <v>0.23592334295408371</v>
      </c>
      <c r="T1254" s="20">
        <f t="shared" si="108"/>
        <v>9.8464552774740338E-2</v>
      </c>
      <c r="U1254" s="20"/>
    </row>
    <row r="1255" spans="15:21" x14ac:dyDescent="0.35">
      <c r="O1255" s="18">
        <v>5</v>
      </c>
      <c r="P1255" s="18">
        <f t="shared" si="106"/>
        <v>6265</v>
      </c>
      <c r="Q1255" s="3">
        <f t="shared" si="109"/>
        <v>4.914195209621309E-6</v>
      </c>
      <c r="R1255" s="3">
        <f t="shared" si="105"/>
        <v>2.4570976048106545E-5</v>
      </c>
      <c r="S1255" s="3">
        <f t="shared" si="107"/>
        <v>0.23594795909227739</v>
      </c>
      <c r="T1255" s="20">
        <f t="shared" si="108"/>
        <v>9.8283904192426177E-2</v>
      </c>
      <c r="U1255" s="20"/>
    </row>
    <row r="1256" spans="15:21" x14ac:dyDescent="0.35">
      <c r="O1256" s="18">
        <v>5</v>
      </c>
      <c r="P1256" s="18">
        <f t="shared" si="106"/>
        <v>6270</v>
      </c>
      <c r="Q1256" s="3">
        <f t="shared" si="109"/>
        <v>4.9051809026283049E-6</v>
      </c>
      <c r="R1256" s="3">
        <f t="shared" si="105"/>
        <v>2.4525904513141524E-5</v>
      </c>
      <c r="S1256" s="3">
        <f t="shared" si="107"/>
        <v>0.2359725300683255</v>
      </c>
      <c r="T1256" s="20">
        <f t="shared" si="108"/>
        <v>9.8103618052566094E-2</v>
      </c>
      <c r="U1256" s="20"/>
    </row>
    <row r="1257" spans="15:21" x14ac:dyDescent="0.35">
      <c r="O1257" s="18">
        <v>5</v>
      </c>
      <c r="P1257" s="18">
        <f t="shared" si="106"/>
        <v>6275</v>
      </c>
      <c r="Q1257" s="3">
        <f t="shared" si="109"/>
        <v>4.8961846755832451E-6</v>
      </c>
      <c r="R1257" s="3">
        <f t="shared" si="105"/>
        <v>2.4480923377916225E-5</v>
      </c>
      <c r="S1257" s="3">
        <f t="shared" si="107"/>
        <v>0.23599705597283863</v>
      </c>
      <c r="T1257" s="20">
        <f t="shared" si="108"/>
        <v>9.7923693511664897E-2</v>
      </c>
      <c r="U1257" s="20"/>
    </row>
    <row r="1258" spans="15:21" x14ac:dyDescent="0.35">
      <c r="O1258" s="18">
        <v>5</v>
      </c>
      <c r="P1258" s="18">
        <f t="shared" si="106"/>
        <v>6280</v>
      </c>
      <c r="Q1258" s="3">
        <f t="shared" si="109"/>
        <v>4.8872064864316671E-6</v>
      </c>
      <c r="R1258" s="3">
        <f t="shared" si="105"/>
        <v>2.4436032432158336E-5</v>
      </c>
      <c r="S1258" s="3">
        <f t="shared" si="107"/>
        <v>0.23602153689621655</v>
      </c>
      <c r="T1258" s="20">
        <f t="shared" si="108"/>
        <v>9.7744129728633347E-2</v>
      </c>
      <c r="U1258" s="20"/>
    </row>
    <row r="1259" spans="15:21" x14ac:dyDescent="0.35">
      <c r="O1259" s="18">
        <v>5</v>
      </c>
      <c r="P1259" s="18">
        <f t="shared" si="106"/>
        <v>6285</v>
      </c>
      <c r="Q1259" s="3">
        <f t="shared" si="109"/>
        <v>4.8782462932390152E-6</v>
      </c>
      <c r="R1259" s="3">
        <f t="shared" si="105"/>
        <v>2.4391231466195075E-5</v>
      </c>
      <c r="S1259" s="3">
        <f t="shared" si="107"/>
        <v>0.23604597292864871</v>
      </c>
      <c r="T1259" s="20">
        <f t="shared" si="108"/>
        <v>9.7564925864780314E-2</v>
      </c>
      <c r="U1259" s="20"/>
    </row>
    <row r="1260" spans="15:21" x14ac:dyDescent="0.35">
      <c r="O1260" s="18">
        <v>5</v>
      </c>
      <c r="P1260" s="18">
        <f t="shared" si="106"/>
        <v>6290</v>
      </c>
      <c r="Q1260" s="3">
        <f t="shared" si="109"/>
        <v>4.8693040541901816E-6</v>
      </c>
      <c r="R1260" s="3">
        <f t="shared" si="105"/>
        <v>2.4346520270950908E-5</v>
      </c>
      <c r="S1260" s="3">
        <f t="shared" si="107"/>
        <v>0.2360703641601149</v>
      </c>
      <c r="T1260" s="20">
        <f t="shared" si="108"/>
        <v>9.7386081083803644E-2</v>
      </c>
      <c r="U1260" s="20"/>
    </row>
    <row r="1261" spans="15:21" x14ac:dyDescent="0.35">
      <c r="O1261" s="18">
        <v>5</v>
      </c>
      <c r="P1261" s="18">
        <f t="shared" si="106"/>
        <v>6295</v>
      </c>
      <c r="Q1261" s="3">
        <f t="shared" si="109"/>
        <v>4.8603797275890944E-6</v>
      </c>
      <c r="R1261" s="3">
        <f t="shared" si="105"/>
        <v>2.4301898637945473E-5</v>
      </c>
      <c r="S1261" s="3">
        <f t="shared" si="107"/>
        <v>0.23609471068038584</v>
      </c>
      <c r="T1261" s="20">
        <f t="shared" si="108"/>
        <v>9.7207594551781878E-2</v>
      </c>
      <c r="U1261" s="20"/>
    </row>
    <row r="1262" spans="15:21" x14ac:dyDescent="0.35">
      <c r="O1262" s="18">
        <v>5</v>
      </c>
      <c r="P1262" s="18">
        <f t="shared" si="106"/>
        <v>6300</v>
      </c>
      <c r="Q1262" s="3">
        <f t="shared" si="109"/>
        <v>4.8514732718582894E-6</v>
      </c>
      <c r="R1262" s="3">
        <f t="shared" si="105"/>
        <v>2.4257366359291447E-5</v>
      </c>
      <c r="S1262" s="3">
        <f t="shared" si="107"/>
        <v>0.23611901257902379</v>
      </c>
      <c r="T1262" s="20">
        <f t="shared" si="108"/>
        <v>9.7029465437165785E-2</v>
      </c>
      <c r="U1262" s="20"/>
    </row>
    <row r="1263" spans="15:21" x14ac:dyDescent="0.35">
      <c r="O1263" s="18">
        <v>5</v>
      </c>
      <c r="P1263" s="18">
        <f t="shared" si="106"/>
        <v>6305</v>
      </c>
      <c r="Q1263" s="3">
        <f t="shared" si="109"/>
        <v>4.8425846455384971E-6</v>
      </c>
      <c r="R1263" s="3">
        <f t="shared" si="105"/>
        <v>2.4212923227692485E-5</v>
      </c>
      <c r="S1263" s="3">
        <f t="shared" si="107"/>
        <v>0.23614326994538309</v>
      </c>
      <c r="T1263" s="20">
        <f t="shared" si="108"/>
        <v>9.6851692910769935E-2</v>
      </c>
      <c r="U1263" s="20"/>
    </row>
    <row r="1264" spans="15:21" x14ac:dyDescent="0.35">
      <c r="O1264" s="18">
        <v>5</v>
      </c>
      <c r="P1264" s="18">
        <f t="shared" si="106"/>
        <v>6310</v>
      </c>
      <c r="Q1264" s="3">
        <f t="shared" si="109"/>
        <v>4.8337138072882265E-6</v>
      </c>
      <c r="R1264" s="3">
        <f t="shared" si="105"/>
        <v>2.4168569036441132E-5</v>
      </c>
      <c r="S1264" s="3">
        <f t="shared" si="107"/>
        <v>0.23616748286861078</v>
      </c>
      <c r="T1264" s="20">
        <f t="shared" si="108"/>
        <v>9.6674276145764529E-2</v>
      </c>
      <c r="U1264" s="20"/>
    </row>
    <row r="1265" spans="15:21" x14ac:dyDescent="0.35">
      <c r="O1265" s="18">
        <v>5</v>
      </c>
      <c r="P1265" s="18">
        <f t="shared" si="106"/>
        <v>6315</v>
      </c>
      <c r="Q1265" s="3">
        <f t="shared" si="109"/>
        <v>4.8248607158833199E-6</v>
      </c>
      <c r="R1265" s="3">
        <f t="shared" si="105"/>
        <v>2.4124303579416598E-5</v>
      </c>
      <c r="S1265" s="3">
        <f t="shared" si="107"/>
        <v>0.23619165143764723</v>
      </c>
      <c r="T1265" s="20">
        <f t="shared" si="108"/>
        <v>9.6497214317666405E-2</v>
      </c>
      <c r="U1265" s="20"/>
    </row>
    <row r="1266" spans="15:21" x14ac:dyDescent="0.35">
      <c r="O1266" s="18">
        <v>5</v>
      </c>
      <c r="P1266" s="18">
        <f t="shared" si="106"/>
        <v>6320</v>
      </c>
      <c r="Q1266" s="3">
        <f t="shared" si="109"/>
        <v>4.8160253302165731E-6</v>
      </c>
      <c r="R1266" s="3">
        <f t="shared" si="105"/>
        <v>2.4080126651082864E-5</v>
      </c>
      <c r="S1266" s="3">
        <f t="shared" si="107"/>
        <v>0.23621577574122665</v>
      </c>
      <c r="T1266" s="20">
        <f t="shared" si="108"/>
        <v>9.632050660433146E-2</v>
      </c>
      <c r="U1266" s="20"/>
    </row>
    <row r="1267" spans="15:21" x14ac:dyDescent="0.35">
      <c r="O1267" s="18">
        <v>5</v>
      </c>
      <c r="P1267" s="18">
        <f t="shared" si="106"/>
        <v>6325</v>
      </c>
      <c r="Q1267" s="3">
        <f t="shared" si="109"/>
        <v>4.8072076092973021E-6</v>
      </c>
      <c r="R1267" s="3">
        <f t="shared" si="105"/>
        <v>2.4036038046486512E-5</v>
      </c>
      <c r="S1267" s="3">
        <f t="shared" si="107"/>
        <v>0.23623985586787774</v>
      </c>
      <c r="T1267" s="20">
        <f t="shared" si="108"/>
        <v>9.6144152185946033E-2</v>
      </c>
      <c r="U1267" s="20"/>
    </row>
    <row r="1268" spans="15:21" x14ac:dyDescent="0.35">
      <c r="O1268" s="18">
        <v>5</v>
      </c>
      <c r="P1268" s="18">
        <f t="shared" si="106"/>
        <v>6330</v>
      </c>
      <c r="Q1268" s="3">
        <f t="shared" si="109"/>
        <v>4.7984075122509333E-6</v>
      </c>
      <c r="R1268" s="3">
        <f t="shared" si="105"/>
        <v>2.3992037561254667E-5</v>
      </c>
      <c r="S1268" s="3">
        <f t="shared" si="107"/>
        <v>0.23626389190592423</v>
      </c>
      <c r="T1268" s="20">
        <f t="shared" si="108"/>
        <v>9.596815024501866E-2</v>
      </c>
      <c r="U1268" s="20"/>
    </row>
    <row r="1269" spans="15:21" x14ac:dyDescent="0.35">
      <c r="O1269" s="18">
        <v>5</v>
      </c>
      <c r="P1269" s="18">
        <f t="shared" si="106"/>
        <v>6335</v>
      </c>
      <c r="Q1269" s="3">
        <f t="shared" si="109"/>
        <v>4.7896249983185921E-6</v>
      </c>
      <c r="R1269" s="3">
        <f t="shared" si="105"/>
        <v>2.3948124991592961E-5</v>
      </c>
      <c r="S1269" s="3">
        <f t="shared" si="107"/>
        <v>0.23628788394348549</v>
      </c>
      <c r="T1269" s="20">
        <f t="shared" si="108"/>
        <v>9.5792499966371833E-2</v>
      </c>
      <c r="U1269" s="20"/>
    </row>
    <row r="1270" spans="15:21" x14ac:dyDescent="0.35">
      <c r="O1270" s="18">
        <v>5</v>
      </c>
      <c r="P1270" s="18">
        <f t="shared" si="106"/>
        <v>6340</v>
      </c>
      <c r="Q1270" s="3">
        <f t="shared" si="109"/>
        <v>4.7808600268567E-6</v>
      </c>
      <c r="R1270" s="3">
        <f t="shared" si="105"/>
        <v>2.3904300134283502E-5</v>
      </c>
      <c r="S1270" s="3">
        <f t="shared" si="107"/>
        <v>0.23631183206847708</v>
      </c>
      <c r="T1270" s="20">
        <f t="shared" si="108"/>
        <v>9.5617200537134017E-2</v>
      </c>
      <c r="U1270" s="20"/>
    </row>
    <row r="1271" spans="15:21" x14ac:dyDescent="0.35">
      <c r="O1271" s="18">
        <v>5</v>
      </c>
      <c r="P1271" s="18">
        <f t="shared" si="106"/>
        <v>6345</v>
      </c>
      <c r="Q1271" s="3">
        <f t="shared" si="109"/>
        <v>4.7721125573365695E-6</v>
      </c>
      <c r="R1271" s="3">
        <f t="shared" si="105"/>
        <v>2.3860562786682849E-5</v>
      </c>
      <c r="S1271" s="3">
        <f t="shared" si="107"/>
        <v>0.23633573636861135</v>
      </c>
      <c r="T1271" s="20">
        <f t="shared" si="108"/>
        <v>9.5442251146731383E-2</v>
      </c>
      <c r="U1271" s="20"/>
    </row>
    <row r="1272" spans="15:21" x14ac:dyDescent="0.35">
      <c r="O1272" s="18">
        <v>5</v>
      </c>
      <c r="P1272" s="18">
        <f t="shared" si="106"/>
        <v>6350</v>
      </c>
      <c r="Q1272" s="3">
        <f t="shared" si="109"/>
        <v>4.76338254934397E-6</v>
      </c>
      <c r="R1272" s="3">
        <f t="shared" si="105"/>
        <v>2.381691274671985E-5</v>
      </c>
      <c r="S1272" s="3">
        <f t="shared" si="107"/>
        <v>0.23635959693139805</v>
      </c>
      <c r="T1272" s="20">
        <f t="shared" si="108"/>
        <v>9.5267650986879393E-2</v>
      </c>
      <c r="U1272" s="20"/>
    </row>
    <row r="1273" spans="15:21" x14ac:dyDescent="0.35">
      <c r="O1273" s="18">
        <v>5</v>
      </c>
      <c r="P1273" s="18">
        <f t="shared" si="106"/>
        <v>6355</v>
      </c>
      <c r="Q1273" s="3">
        <f t="shared" si="109"/>
        <v>4.7546699625787764E-6</v>
      </c>
      <c r="R1273" s="3">
        <f t="shared" si="105"/>
        <v>2.3773349812893883E-5</v>
      </c>
      <c r="S1273" s="3">
        <f t="shared" si="107"/>
        <v>0.23638341384414477</v>
      </c>
      <c r="T1273" s="20">
        <f t="shared" si="108"/>
        <v>9.5093399251575519E-2</v>
      </c>
      <c r="U1273" s="20"/>
    </row>
    <row r="1274" spans="15:21" x14ac:dyDescent="0.35">
      <c r="O1274" s="18">
        <v>5</v>
      </c>
      <c r="P1274" s="18">
        <f t="shared" si="106"/>
        <v>6360</v>
      </c>
      <c r="Q1274" s="3">
        <f t="shared" si="109"/>
        <v>4.7459747568545252E-6</v>
      </c>
      <c r="R1274" s="3">
        <f t="shared" si="105"/>
        <v>2.3729873784272628E-5</v>
      </c>
      <c r="S1274" s="3">
        <f t="shared" si="107"/>
        <v>0.23640718719395767</v>
      </c>
      <c r="T1274" s="20">
        <f t="shared" si="108"/>
        <v>9.4919495137090498E-2</v>
      </c>
      <c r="U1274" s="20"/>
    </row>
    <row r="1275" spans="15:21" x14ac:dyDescent="0.35">
      <c r="O1275" s="18">
        <v>5</v>
      </c>
      <c r="P1275" s="18">
        <f t="shared" si="106"/>
        <v>6365</v>
      </c>
      <c r="Q1275" s="3">
        <f t="shared" si="109"/>
        <v>4.7372968920980387E-6</v>
      </c>
      <c r="R1275" s="3">
        <f t="shared" si="105"/>
        <v>2.3686484460490194E-5</v>
      </c>
      <c r="S1275" s="3">
        <f t="shared" si="107"/>
        <v>0.23643091706774194</v>
      </c>
      <c r="T1275" s="20">
        <f t="shared" si="108"/>
        <v>9.4745937841960767E-2</v>
      </c>
      <c r="U1275" s="20"/>
    </row>
    <row r="1276" spans="15:21" x14ac:dyDescent="0.35">
      <c r="O1276" s="18">
        <v>5</v>
      </c>
      <c r="P1276" s="18">
        <f t="shared" si="106"/>
        <v>6370</v>
      </c>
      <c r="Q1276" s="3">
        <f t="shared" si="109"/>
        <v>4.7286363283490017E-6</v>
      </c>
      <c r="R1276" s="3">
        <f t="shared" si="105"/>
        <v>2.3643181641745008E-5</v>
      </c>
      <c r="S1276" s="3">
        <f t="shared" si="107"/>
        <v>0.23645460355220244</v>
      </c>
      <c r="T1276" s="20">
        <f t="shared" si="108"/>
        <v>9.4572726566980042E-2</v>
      </c>
      <c r="U1276" s="20"/>
    </row>
    <row r="1277" spans="15:21" x14ac:dyDescent="0.35">
      <c r="O1277" s="18">
        <v>5</v>
      </c>
      <c r="P1277" s="18">
        <f t="shared" si="106"/>
        <v>6375</v>
      </c>
      <c r="Q1277" s="3">
        <f t="shared" si="109"/>
        <v>4.7199930257595947E-6</v>
      </c>
      <c r="R1277" s="3">
        <f t="shared" si="105"/>
        <v>2.3599965128797975E-5</v>
      </c>
      <c r="S1277" s="3">
        <f t="shared" si="107"/>
        <v>0.23647824673384418</v>
      </c>
      <c r="T1277" s="20">
        <f t="shared" si="108"/>
        <v>9.4399860515191891E-2</v>
      </c>
      <c r="U1277" s="20"/>
    </row>
    <row r="1278" spans="15:21" x14ac:dyDescent="0.35">
      <c r="O1278" s="18">
        <v>5</v>
      </c>
      <c r="P1278" s="18">
        <f t="shared" si="106"/>
        <v>6380</v>
      </c>
      <c r="Q1278" s="3">
        <f t="shared" si="109"/>
        <v>4.7113669445940783E-6</v>
      </c>
      <c r="R1278" s="3">
        <f t="shared" si="105"/>
        <v>2.355683472297039E-5</v>
      </c>
      <c r="S1278" s="3">
        <f t="shared" si="107"/>
        <v>0.23650184669897298</v>
      </c>
      <c r="T1278" s="20">
        <f t="shared" si="108"/>
        <v>9.4227338891881562E-2</v>
      </c>
      <c r="U1278" s="20"/>
    </row>
    <row r="1279" spans="15:21" x14ac:dyDescent="0.35">
      <c r="O1279" s="18">
        <v>5</v>
      </c>
      <c r="P1279" s="18">
        <f t="shared" si="106"/>
        <v>6385</v>
      </c>
      <c r="Q1279" s="3">
        <f t="shared" si="109"/>
        <v>4.7027580452284078E-6</v>
      </c>
      <c r="R1279" s="3">
        <f t="shared" si="105"/>
        <v>2.351379022614204E-5</v>
      </c>
      <c r="S1279" s="3">
        <f t="shared" si="107"/>
        <v>0.23652540353369594</v>
      </c>
      <c r="T1279" s="20">
        <f t="shared" si="108"/>
        <v>9.4055160904568155E-2</v>
      </c>
      <c r="U1279" s="20"/>
    </row>
    <row r="1280" spans="15:21" x14ac:dyDescent="0.35">
      <c r="O1280" s="18">
        <v>5</v>
      </c>
      <c r="P1280" s="18">
        <f t="shared" si="106"/>
        <v>6390</v>
      </c>
      <c r="Q1280" s="3">
        <f t="shared" si="109"/>
        <v>4.6941662881498405E-6</v>
      </c>
      <c r="R1280" s="3">
        <f t="shared" si="105"/>
        <v>2.3470831440749204E-5</v>
      </c>
      <c r="S1280" s="3">
        <f t="shared" si="107"/>
        <v>0.23654891732392208</v>
      </c>
      <c r="T1280" s="20">
        <f t="shared" si="108"/>
        <v>9.3883325762996808E-2</v>
      </c>
      <c r="U1280" s="20"/>
    </row>
    <row r="1281" spans="15:21" x14ac:dyDescent="0.35">
      <c r="O1281" s="18">
        <v>5</v>
      </c>
      <c r="P1281" s="18">
        <f t="shared" si="106"/>
        <v>6395</v>
      </c>
      <c r="Q1281" s="3">
        <f t="shared" si="109"/>
        <v>4.6855916339565468E-6</v>
      </c>
      <c r="R1281" s="3">
        <f t="shared" si="105"/>
        <v>2.3427958169782735E-5</v>
      </c>
      <c r="S1281" s="3">
        <f t="shared" si="107"/>
        <v>0.23657238815536283</v>
      </c>
      <c r="T1281" s="20">
        <f t="shared" si="108"/>
        <v>9.3711832679130927E-2</v>
      </c>
      <c r="U1281" s="20"/>
    </row>
    <row r="1282" spans="15:21" x14ac:dyDescent="0.35">
      <c r="O1282" s="18">
        <v>5</v>
      </c>
      <c r="P1282" s="18">
        <f t="shared" si="106"/>
        <v>6400</v>
      </c>
      <c r="Q1282" s="3">
        <f t="shared" si="109"/>
        <v>4.6770340433572194E-6</v>
      </c>
      <c r="R1282" s="3">
        <f t="shared" ref="R1282:R1345" si="110">Q1282*O1282</f>
        <v>2.3385170216786098E-5</v>
      </c>
      <c r="S1282" s="3">
        <f t="shared" si="107"/>
        <v>0.23659581611353261</v>
      </c>
      <c r="T1282" s="20">
        <f t="shared" si="108"/>
        <v>9.3540680867144399E-2</v>
      </c>
      <c r="U1282" s="20"/>
    </row>
    <row r="1283" spans="15:21" x14ac:dyDescent="0.35">
      <c r="O1283" s="18">
        <v>5</v>
      </c>
      <c r="P1283" s="18">
        <f t="shared" ref="P1283:P1346" si="111">O1283+P1282</f>
        <v>6405</v>
      </c>
      <c r="Q1283" s="3">
        <f t="shared" si="109"/>
        <v>4.6684934771706918E-6</v>
      </c>
      <c r="R1283" s="3">
        <f t="shared" si="110"/>
        <v>2.3342467385853457E-5</v>
      </c>
      <c r="S1283" s="3">
        <f t="shared" ref="S1283:S1346" si="112">S1282+R1282</f>
        <v>0.23661920128374941</v>
      </c>
      <c r="T1283" s="20">
        <f t="shared" ref="T1283:T1346" si="113">Q1283*$B$9*$B$2*0.5/$B$11</f>
        <v>9.3369869543413836E-2</v>
      </c>
      <c r="U1283" s="20"/>
    </row>
    <row r="1284" spans="15:21" x14ac:dyDescent="0.35">
      <c r="O1284" s="18">
        <v>5</v>
      </c>
      <c r="P1284" s="18">
        <f t="shared" si="111"/>
        <v>6410</v>
      </c>
      <c r="Q1284" s="3">
        <f t="shared" ref="Q1284:Q1347" si="114">$T$2*(1-(S1284/$B$12))/($B$9*((0.5*$B$2/$B$11)+(S1284/$B$10)))</f>
        <v>4.6599698963255558E-6</v>
      </c>
      <c r="R1284" s="3">
        <f t="shared" si="110"/>
        <v>2.329984948162778E-5</v>
      </c>
      <c r="S1284" s="3">
        <f t="shared" si="112"/>
        <v>0.23664254375113528</v>
      </c>
      <c r="T1284" s="20">
        <f t="shared" si="113"/>
        <v>9.3199397926511107E-2</v>
      </c>
      <c r="U1284" s="20"/>
    </row>
    <row r="1285" spans="15:21" x14ac:dyDescent="0.35">
      <c r="O1285" s="18">
        <v>5</v>
      </c>
      <c r="P1285" s="18">
        <f t="shared" si="111"/>
        <v>6415</v>
      </c>
      <c r="Q1285" s="3">
        <f t="shared" si="114"/>
        <v>4.6514632618597714E-6</v>
      </c>
      <c r="R1285" s="3">
        <f t="shared" si="110"/>
        <v>2.3257316309298857E-5</v>
      </c>
      <c r="S1285" s="3">
        <f t="shared" si="112"/>
        <v>0.2366658436006169</v>
      </c>
      <c r="T1285" s="20">
        <f t="shared" si="113"/>
        <v>9.3029265237195416E-2</v>
      </c>
      <c r="U1285" s="20"/>
    </row>
    <row r="1286" spans="15:21" x14ac:dyDescent="0.35">
      <c r="O1286" s="18">
        <v>5</v>
      </c>
      <c r="P1286" s="18">
        <f t="shared" si="111"/>
        <v>6420</v>
      </c>
      <c r="Q1286" s="3">
        <f t="shared" si="114"/>
        <v>4.6429735349202786E-6</v>
      </c>
      <c r="R1286" s="3">
        <f t="shared" si="110"/>
        <v>2.3214867674601393E-5</v>
      </c>
      <c r="S1286" s="3">
        <f t="shared" si="112"/>
        <v>0.23668910091692622</v>
      </c>
      <c r="T1286" s="20">
        <f t="shared" si="113"/>
        <v>9.2859470698405569E-2</v>
      </c>
      <c r="U1286" s="20"/>
    </row>
    <row r="1287" spans="15:21" x14ac:dyDescent="0.35">
      <c r="O1287" s="18">
        <v>5</v>
      </c>
      <c r="P1287" s="18">
        <f t="shared" si="111"/>
        <v>6425</v>
      </c>
      <c r="Q1287" s="3">
        <f t="shared" si="114"/>
        <v>4.6345006767626479E-6</v>
      </c>
      <c r="R1287" s="3">
        <f t="shared" si="110"/>
        <v>2.3172503383813238E-5</v>
      </c>
      <c r="S1287" s="3">
        <f t="shared" si="112"/>
        <v>0.23671231578460081</v>
      </c>
      <c r="T1287" s="20">
        <f t="shared" si="113"/>
        <v>9.2690013535252955E-2</v>
      </c>
      <c r="U1287" s="20"/>
    </row>
    <row r="1288" spans="15:21" x14ac:dyDescent="0.35">
      <c r="O1288" s="18">
        <v>5</v>
      </c>
      <c r="P1288" s="18">
        <f t="shared" si="111"/>
        <v>6430</v>
      </c>
      <c r="Q1288" s="3">
        <f t="shared" si="114"/>
        <v>4.6260446487506504E-6</v>
      </c>
      <c r="R1288" s="3">
        <f t="shared" si="110"/>
        <v>2.3130223243753253E-5</v>
      </c>
      <c r="S1288" s="3">
        <f t="shared" si="112"/>
        <v>0.23673548828798463</v>
      </c>
      <c r="T1288" s="20">
        <f t="shared" si="113"/>
        <v>9.2520892975013008E-2</v>
      </c>
      <c r="U1288" s="20"/>
    </row>
    <row r="1289" spans="15:21" x14ac:dyDescent="0.35">
      <c r="O1289" s="18">
        <v>5</v>
      </c>
      <c r="P1289" s="18">
        <f t="shared" si="111"/>
        <v>6435</v>
      </c>
      <c r="Q1289" s="3">
        <f t="shared" si="114"/>
        <v>4.6176054123559362E-6</v>
      </c>
      <c r="R1289" s="3">
        <f t="shared" si="110"/>
        <v>2.308802706177968E-5</v>
      </c>
      <c r="S1289" s="3">
        <f t="shared" si="112"/>
        <v>0.2367586185112284</v>
      </c>
      <c r="T1289" s="20">
        <f t="shared" si="113"/>
        <v>9.2352108247118717E-2</v>
      </c>
      <c r="U1289" s="20"/>
    </row>
    <row r="1290" spans="15:21" x14ac:dyDescent="0.35">
      <c r="O1290" s="18">
        <v>5</v>
      </c>
      <c r="P1290" s="18">
        <f t="shared" si="111"/>
        <v>6440</v>
      </c>
      <c r="Q1290" s="3">
        <f t="shared" si="114"/>
        <v>4.6091829291576363E-6</v>
      </c>
      <c r="R1290" s="3">
        <f t="shared" si="110"/>
        <v>2.3045914645788182E-5</v>
      </c>
      <c r="S1290" s="3">
        <f t="shared" si="112"/>
        <v>0.23678170653829017</v>
      </c>
      <c r="T1290" s="20">
        <f t="shared" si="113"/>
        <v>9.2183658583152722E-2</v>
      </c>
      <c r="U1290" s="20"/>
    </row>
    <row r="1291" spans="15:21" x14ac:dyDescent="0.35">
      <c r="O1291" s="18">
        <v>5</v>
      </c>
      <c r="P1291" s="18">
        <f t="shared" si="111"/>
        <v>6445</v>
      </c>
      <c r="Q1291" s="3">
        <f t="shared" si="114"/>
        <v>4.6007771608419764E-6</v>
      </c>
      <c r="R1291" s="3">
        <f t="shared" si="110"/>
        <v>2.3003885804209883E-5</v>
      </c>
      <c r="S1291" s="3">
        <f t="shared" si="112"/>
        <v>0.23680475245293595</v>
      </c>
      <c r="T1291" s="20">
        <f t="shared" si="113"/>
        <v>9.2015543216839524E-2</v>
      </c>
      <c r="U1291" s="20"/>
    </row>
    <row r="1292" spans="15:21" x14ac:dyDescent="0.35">
      <c r="O1292" s="18">
        <v>5</v>
      </c>
      <c r="P1292" s="18">
        <f t="shared" si="111"/>
        <v>6450</v>
      </c>
      <c r="Q1292" s="3">
        <f t="shared" si="114"/>
        <v>4.5923880692019158E-6</v>
      </c>
      <c r="R1292" s="3">
        <f t="shared" si="110"/>
        <v>2.2961940346009578E-5</v>
      </c>
      <c r="S1292" s="3">
        <f t="shared" si="112"/>
        <v>0.23682775633874015</v>
      </c>
      <c r="T1292" s="20">
        <f t="shared" si="113"/>
        <v>9.1847761384038315E-2</v>
      </c>
      <c r="U1292" s="20"/>
    </row>
    <row r="1293" spans="15:21" x14ac:dyDescent="0.35">
      <c r="O1293" s="18">
        <v>5</v>
      </c>
      <c r="P1293" s="18">
        <f t="shared" si="111"/>
        <v>6455</v>
      </c>
      <c r="Q1293" s="3">
        <f t="shared" si="114"/>
        <v>4.584015616136781E-6</v>
      </c>
      <c r="R1293" s="3">
        <f t="shared" si="110"/>
        <v>2.2920078080683904E-5</v>
      </c>
      <c r="S1293" s="3">
        <f t="shared" si="112"/>
        <v>0.23685071827908616</v>
      </c>
      <c r="T1293" s="20">
        <f t="shared" si="113"/>
        <v>9.1680312322735616E-2</v>
      </c>
      <c r="U1293" s="20"/>
    </row>
    <row r="1294" spans="15:21" x14ac:dyDescent="0.35">
      <c r="O1294" s="18">
        <v>5</v>
      </c>
      <c r="P1294" s="18">
        <f t="shared" si="111"/>
        <v>6460</v>
      </c>
      <c r="Q1294" s="3">
        <f t="shared" si="114"/>
        <v>4.5756597636518968E-6</v>
      </c>
      <c r="R1294" s="3">
        <f t="shared" si="110"/>
        <v>2.2878298818259484E-5</v>
      </c>
      <c r="S1294" s="3">
        <f t="shared" si="112"/>
        <v>0.23687363835716685</v>
      </c>
      <c r="T1294" s="20">
        <f t="shared" si="113"/>
        <v>9.1513195273037931E-2</v>
      </c>
      <c r="U1294" s="20"/>
    </row>
    <row r="1295" spans="15:21" x14ac:dyDescent="0.35">
      <c r="O1295" s="18">
        <v>5</v>
      </c>
      <c r="P1295" s="18">
        <f t="shared" si="111"/>
        <v>6465</v>
      </c>
      <c r="Q1295" s="3">
        <f t="shared" si="114"/>
        <v>4.5673204738582277E-6</v>
      </c>
      <c r="R1295" s="3">
        <f t="shared" si="110"/>
        <v>2.2836602369291138E-5</v>
      </c>
      <c r="S1295" s="3">
        <f t="shared" si="112"/>
        <v>0.2368965166559851</v>
      </c>
      <c r="T1295" s="20">
        <f t="shared" si="113"/>
        <v>9.1346409477164547E-2</v>
      </c>
      <c r="U1295" s="20"/>
    </row>
    <row r="1296" spans="15:21" x14ac:dyDescent="0.35">
      <c r="O1296" s="18">
        <v>5</v>
      </c>
      <c r="P1296" s="18">
        <f t="shared" si="111"/>
        <v>6470</v>
      </c>
      <c r="Q1296" s="3">
        <f t="shared" si="114"/>
        <v>4.5589977089719792E-6</v>
      </c>
      <c r="R1296" s="3">
        <f t="shared" si="110"/>
        <v>2.2794988544859895E-5</v>
      </c>
      <c r="S1296" s="3">
        <f t="shared" si="112"/>
        <v>0.23691935325835439</v>
      </c>
      <c r="T1296" s="20">
        <f t="shared" si="113"/>
        <v>9.1179954179439582E-2</v>
      </c>
      <c r="U1296" s="20"/>
    </row>
    <row r="1297" spans="15:21" x14ac:dyDescent="0.35">
      <c r="O1297" s="18">
        <v>5</v>
      </c>
      <c r="P1297" s="18">
        <f t="shared" si="111"/>
        <v>6475</v>
      </c>
      <c r="Q1297" s="3">
        <f t="shared" si="114"/>
        <v>4.5506914313142749E-6</v>
      </c>
      <c r="R1297" s="3">
        <f t="shared" si="110"/>
        <v>2.2753457156571374E-5</v>
      </c>
      <c r="S1297" s="3">
        <f t="shared" si="112"/>
        <v>0.23694214824689924</v>
      </c>
      <c r="T1297" s="20">
        <f t="shared" si="113"/>
        <v>9.1013828626285487E-2</v>
      </c>
      <c r="U1297" s="20"/>
    </row>
    <row r="1298" spans="15:21" x14ac:dyDescent="0.35">
      <c r="O1298" s="18">
        <v>5</v>
      </c>
      <c r="P1298" s="18">
        <f t="shared" si="111"/>
        <v>6480</v>
      </c>
      <c r="Q1298" s="3">
        <f t="shared" si="114"/>
        <v>4.5424016033107577E-6</v>
      </c>
      <c r="R1298" s="3">
        <f t="shared" si="110"/>
        <v>2.2712008016553789E-5</v>
      </c>
      <c r="S1298" s="3">
        <f t="shared" si="112"/>
        <v>0.23696490170405582</v>
      </c>
      <c r="T1298" s="20">
        <f t="shared" si="113"/>
        <v>9.0848032066215154E-2</v>
      </c>
      <c r="U1298" s="20"/>
    </row>
    <row r="1299" spans="15:21" x14ac:dyDescent="0.35">
      <c r="O1299" s="18">
        <v>5</v>
      </c>
      <c r="P1299" s="18">
        <f t="shared" si="111"/>
        <v>6485</v>
      </c>
      <c r="Q1299" s="3">
        <f t="shared" si="114"/>
        <v>4.5341281874912692E-6</v>
      </c>
      <c r="R1299" s="3">
        <f t="shared" si="110"/>
        <v>2.2670640937456346E-5</v>
      </c>
      <c r="S1299" s="3">
        <f t="shared" si="112"/>
        <v>0.23698761371207236</v>
      </c>
      <c r="T1299" s="20">
        <f t="shared" si="113"/>
        <v>9.0682563749825376E-2</v>
      </c>
      <c r="U1299" s="20"/>
    </row>
    <row r="1300" spans="15:21" x14ac:dyDescent="0.35">
      <c r="O1300" s="18">
        <v>5</v>
      </c>
      <c r="P1300" s="18">
        <f t="shared" si="111"/>
        <v>6490</v>
      </c>
      <c r="Q1300" s="3">
        <f t="shared" si="114"/>
        <v>4.5258711464894481E-6</v>
      </c>
      <c r="R1300" s="3">
        <f t="shared" si="110"/>
        <v>2.2629355732447239E-5</v>
      </c>
      <c r="S1300" s="3">
        <f t="shared" si="112"/>
        <v>0.2370102843530098</v>
      </c>
      <c r="T1300" s="20">
        <f t="shared" si="113"/>
        <v>9.0517422929788954E-2</v>
      </c>
      <c r="U1300" s="20"/>
    </row>
    <row r="1301" spans="15:21" x14ac:dyDescent="0.35">
      <c r="O1301" s="18">
        <v>5</v>
      </c>
      <c r="P1301" s="18">
        <f t="shared" si="111"/>
        <v>6495</v>
      </c>
      <c r="Q1301" s="3">
        <f t="shared" si="114"/>
        <v>4.517630443042395E-6</v>
      </c>
      <c r="R1301" s="3">
        <f t="shared" si="110"/>
        <v>2.2588152215211973E-5</v>
      </c>
      <c r="S1301" s="3">
        <f t="shared" si="112"/>
        <v>0.23703291370874224</v>
      </c>
      <c r="T1301" s="20">
        <f t="shared" si="113"/>
        <v>9.0352608860847894E-2</v>
      </c>
      <c r="U1301" s="20"/>
    </row>
    <row r="1302" spans="15:21" x14ac:dyDescent="0.35">
      <c r="O1302" s="18">
        <v>5</v>
      </c>
      <c r="P1302" s="18">
        <f t="shared" si="111"/>
        <v>6500</v>
      </c>
      <c r="Q1302" s="3">
        <f t="shared" si="114"/>
        <v>4.5094060399903212E-6</v>
      </c>
      <c r="R1302" s="3">
        <f t="shared" si="110"/>
        <v>2.2547030199951605E-5</v>
      </c>
      <c r="S1302" s="3">
        <f t="shared" si="112"/>
        <v>0.23705550186095745</v>
      </c>
      <c r="T1302" s="20">
        <f t="shared" si="113"/>
        <v>9.018812079980644E-2</v>
      </c>
      <c r="U1302" s="20"/>
    </row>
    <row r="1303" spans="15:21" x14ac:dyDescent="0.35">
      <c r="O1303" s="18">
        <v>5</v>
      </c>
      <c r="P1303" s="18">
        <f t="shared" si="111"/>
        <v>6505</v>
      </c>
      <c r="Q1303" s="3">
        <f t="shared" si="114"/>
        <v>4.5011979002761715E-6</v>
      </c>
      <c r="R1303" s="3">
        <f t="shared" si="110"/>
        <v>2.2505989501380859E-5</v>
      </c>
      <c r="S1303" s="3">
        <f t="shared" si="112"/>
        <v>0.23707804889115741</v>
      </c>
      <c r="T1303" s="20">
        <f t="shared" si="113"/>
        <v>9.002395800552343E-2</v>
      </c>
      <c r="U1303" s="20"/>
    </row>
    <row r="1304" spans="15:21" x14ac:dyDescent="0.35">
      <c r="O1304" s="18">
        <v>5</v>
      </c>
      <c r="P1304" s="18">
        <f t="shared" si="111"/>
        <v>6510</v>
      </c>
      <c r="Q1304" s="3">
        <f t="shared" si="114"/>
        <v>4.4930059869453094E-6</v>
      </c>
      <c r="R1304" s="3">
        <f t="shared" si="110"/>
        <v>2.2465029934726548E-5</v>
      </c>
      <c r="S1304" s="3">
        <f t="shared" si="112"/>
        <v>0.23710055488065879</v>
      </c>
      <c r="T1304" s="20">
        <f t="shared" si="113"/>
        <v>8.9860119738906188E-2</v>
      </c>
      <c r="U1304" s="20"/>
    </row>
    <row r="1305" spans="15:21" x14ac:dyDescent="0.35">
      <c r="O1305" s="18">
        <v>5</v>
      </c>
      <c r="P1305" s="18">
        <f t="shared" si="111"/>
        <v>6515</v>
      </c>
      <c r="Q1305" s="3">
        <f t="shared" si="114"/>
        <v>4.4848302631451188E-6</v>
      </c>
      <c r="R1305" s="3">
        <f t="shared" si="110"/>
        <v>2.2424151315725596E-5</v>
      </c>
      <c r="S1305" s="3">
        <f t="shared" si="112"/>
        <v>0.23712301991059351</v>
      </c>
      <c r="T1305" s="20">
        <f t="shared" si="113"/>
        <v>8.9696605262902365E-2</v>
      </c>
      <c r="U1305" s="20"/>
    </row>
    <row r="1306" spans="15:21" x14ac:dyDescent="0.35">
      <c r="O1306" s="18">
        <v>5</v>
      </c>
      <c r="P1306" s="18">
        <f t="shared" si="111"/>
        <v>6520</v>
      </c>
      <c r="Q1306" s="3">
        <f t="shared" si="114"/>
        <v>4.4766706921246788E-6</v>
      </c>
      <c r="R1306" s="3">
        <f t="shared" si="110"/>
        <v>2.2383353460623393E-5</v>
      </c>
      <c r="S1306" s="3">
        <f t="shared" si="112"/>
        <v>0.23714544406190924</v>
      </c>
      <c r="T1306" s="20">
        <f t="shared" si="113"/>
        <v>8.9533413842493567E-2</v>
      </c>
      <c r="U1306" s="20"/>
    </row>
    <row r="1307" spans="15:21" x14ac:dyDescent="0.35">
      <c r="O1307" s="18">
        <v>5</v>
      </c>
      <c r="P1307" s="18">
        <f t="shared" si="111"/>
        <v>6525</v>
      </c>
      <c r="Q1307" s="3">
        <f t="shared" si="114"/>
        <v>4.4685272372344131E-6</v>
      </c>
      <c r="R1307" s="3">
        <f t="shared" si="110"/>
        <v>2.2342636186172065E-5</v>
      </c>
      <c r="S1307" s="3">
        <f t="shared" si="112"/>
        <v>0.23716782741536988</v>
      </c>
      <c r="T1307" s="20">
        <f t="shared" si="113"/>
        <v>8.9370544744688252E-2</v>
      </c>
      <c r="U1307" s="20"/>
    </row>
    <row r="1308" spans="15:21" x14ac:dyDescent="0.35">
      <c r="O1308" s="18">
        <v>5</v>
      </c>
      <c r="P1308" s="18">
        <f t="shared" si="111"/>
        <v>6530</v>
      </c>
      <c r="Q1308" s="3">
        <f t="shared" si="114"/>
        <v>4.4603998619257553E-6</v>
      </c>
      <c r="R1308" s="3">
        <f t="shared" si="110"/>
        <v>2.2301999309628775E-5</v>
      </c>
      <c r="S1308" s="3">
        <f t="shared" si="112"/>
        <v>0.23719017005155604</v>
      </c>
      <c r="T1308" s="20">
        <f t="shared" si="113"/>
        <v>8.9207997238515108E-2</v>
      </c>
      <c r="U1308" s="20"/>
    </row>
    <row r="1309" spans="15:21" x14ac:dyDescent="0.35">
      <c r="O1309" s="18">
        <v>5</v>
      </c>
      <c r="P1309" s="18">
        <f t="shared" si="111"/>
        <v>6535</v>
      </c>
      <c r="Q1309" s="3">
        <f t="shared" si="114"/>
        <v>4.4522885297507633E-6</v>
      </c>
      <c r="R1309" s="3">
        <f t="shared" si="110"/>
        <v>2.2261442648753815E-5</v>
      </c>
      <c r="S1309" s="3">
        <f t="shared" si="112"/>
        <v>0.23721247205086568</v>
      </c>
      <c r="T1309" s="20">
        <f t="shared" si="113"/>
        <v>8.9045770595015256E-2</v>
      </c>
      <c r="U1309" s="20"/>
    </row>
    <row r="1310" spans="15:21" x14ac:dyDescent="0.35">
      <c r="O1310" s="18">
        <v>5</v>
      </c>
      <c r="P1310" s="18">
        <f t="shared" si="111"/>
        <v>6540</v>
      </c>
      <c r="Q1310" s="3">
        <f t="shared" si="114"/>
        <v>4.4441932043618229E-6</v>
      </c>
      <c r="R1310" s="3">
        <f t="shared" si="110"/>
        <v>2.2220966021809116E-5</v>
      </c>
      <c r="S1310" s="3">
        <f t="shared" si="112"/>
        <v>0.23723473349351443</v>
      </c>
      <c r="T1310" s="20">
        <f t="shared" si="113"/>
        <v>8.8883864087236447E-2</v>
      </c>
      <c r="U1310" s="20"/>
    </row>
    <row r="1311" spans="15:21" x14ac:dyDescent="0.35">
      <c r="O1311" s="18">
        <v>5</v>
      </c>
      <c r="P1311" s="18">
        <f t="shared" si="111"/>
        <v>6545</v>
      </c>
      <c r="Q1311" s="3">
        <f t="shared" si="114"/>
        <v>4.436113849511266E-6</v>
      </c>
      <c r="R1311" s="3">
        <f t="shared" si="110"/>
        <v>2.218056924755633E-5</v>
      </c>
      <c r="S1311" s="3">
        <f t="shared" si="112"/>
        <v>0.23725695445953623</v>
      </c>
      <c r="T1311" s="20">
        <f t="shared" si="113"/>
        <v>8.8722276990225321E-2</v>
      </c>
      <c r="U1311" s="20"/>
    </row>
    <row r="1312" spans="15:21" x14ac:dyDescent="0.35">
      <c r="O1312" s="18">
        <v>5</v>
      </c>
      <c r="P1312" s="18">
        <f t="shared" si="111"/>
        <v>6550</v>
      </c>
      <c r="Q1312" s="3">
        <f t="shared" si="114"/>
        <v>4.4280504290510503E-6</v>
      </c>
      <c r="R1312" s="3">
        <f t="shared" si="110"/>
        <v>2.2140252145255252E-5</v>
      </c>
      <c r="S1312" s="3">
        <f t="shared" si="112"/>
        <v>0.23727913502878378</v>
      </c>
      <c r="T1312" s="20">
        <f t="shared" si="113"/>
        <v>8.8561008581021006E-2</v>
      </c>
      <c r="U1312" s="20"/>
    </row>
    <row r="1313" spans="15:21" x14ac:dyDescent="0.35">
      <c r="O1313" s="18">
        <v>5</v>
      </c>
      <c r="P1313" s="18">
        <f t="shared" si="111"/>
        <v>6555</v>
      </c>
      <c r="Q1313" s="3">
        <f t="shared" si="114"/>
        <v>4.4200029069324115E-6</v>
      </c>
      <c r="R1313" s="3">
        <f t="shared" si="110"/>
        <v>2.2100014534662057E-5</v>
      </c>
      <c r="S1313" s="3">
        <f t="shared" si="112"/>
        <v>0.23730127528092904</v>
      </c>
      <c r="T1313" s="20">
        <f t="shared" si="113"/>
        <v>8.8400058138648221E-2</v>
      </c>
      <c r="U1313" s="20"/>
    </row>
    <row r="1314" spans="15:21" x14ac:dyDescent="0.35">
      <c r="O1314" s="18">
        <v>5</v>
      </c>
      <c r="P1314" s="18">
        <f t="shared" si="111"/>
        <v>6560</v>
      </c>
      <c r="Q1314" s="3">
        <f t="shared" si="114"/>
        <v>4.4119712472055332E-6</v>
      </c>
      <c r="R1314" s="3">
        <f t="shared" si="110"/>
        <v>2.2059856236027667E-5</v>
      </c>
      <c r="S1314" s="3">
        <f t="shared" si="112"/>
        <v>0.23732337529546368</v>
      </c>
      <c r="T1314" s="20">
        <f t="shared" si="113"/>
        <v>8.8239424944110662E-2</v>
      </c>
      <c r="U1314" s="20"/>
    </row>
    <row r="1315" spans="15:21" x14ac:dyDescent="0.35">
      <c r="O1315" s="18">
        <v>5</v>
      </c>
      <c r="P1315" s="18">
        <f t="shared" si="111"/>
        <v>6565</v>
      </c>
      <c r="Q1315" s="3">
        <f t="shared" si="114"/>
        <v>4.4039554140191937E-6</v>
      </c>
      <c r="R1315" s="3">
        <f t="shared" si="110"/>
        <v>2.2019777070095967E-5</v>
      </c>
      <c r="S1315" s="3">
        <f t="shared" si="112"/>
        <v>0.2373454351516997</v>
      </c>
      <c r="T1315" s="20">
        <f t="shared" si="113"/>
        <v>8.8079108280383872E-2</v>
      </c>
      <c r="U1315" s="20"/>
    </row>
    <row r="1316" spans="15:21" x14ac:dyDescent="0.35">
      <c r="O1316" s="18">
        <v>5</v>
      </c>
      <c r="P1316" s="18">
        <f t="shared" si="111"/>
        <v>6570</v>
      </c>
      <c r="Q1316" s="3">
        <f t="shared" si="114"/>
        <v>4.3959553716204397E-6</v>
      </c>
      <c r="R1316" s="3">
        <f t="shared" si="110"/>
        <v>2.1979776858102198E-5</v>
      </c>
      <c r="S1316" s="3">
        <f t="shared" si="112"/>
        <v>0.23736745492876979</v>
      </c>
      <c r="T1316" s="20">
        <f t="shared" si="113"/>
        <v>8.7919107432408786E-2</v>
      </c>
      <c r="U1316" s="20"/>
    </row>
    <row r="1317" spans="15:21" x14ac:dyDescent="0.35">
      <c r="O1317" s="18">
        <v>5</v>
      </c>
      <c r="P1317" s="18">
        <f t="shared" si="111"/>
        <v>6575</v>
      </c>
      <c r="Q1317" s="3">
        <f t="shared" si="114"/>
        <v>4.3879710843542502E-6</v>
      </c>
      <c r="R1317" s="3">
        <f t="shared" si="110"/>
        <v>2.193985542177125E-5</v>
      </c>
      <c r="S1317" s="3">
        <f t="shared" si="112"/>
        <v>0.2373894347056279</v>
      </c>
      <c r="T1317" s="20">
        <f t="shared" si="113"/>
        <v>8.7759421687085004E-2</v>
      </c>
      <c r="U1317" s="20"/>
    </row>
    <row r="1318" spans="15:21" x14ac:dyDescent="0.35">
      <c r="O1318" s="18">
        <v>5</v>
      </c>
      <c r="P1318" s="18">
        <f t="shared" si="111"/>
        <v>6580</v>
      </c>
      <c r="Q1318" s="3">
        <f t="shared" si="114"/>
        <v>4.3800025166632207E-6</v>
      </c>
      <c r="R1318" s="3">
        <f t="shared" si="110"/>
        <v>2.1900012583316103E-5</v>
      </c>
      <c r="S1318" s="3">
        <f t="shared" si="112"/>
        <v>0.23741137456104966</v>
      </c>
      <c r="T1318" s="20">
        <f t="shared" si="113"/>
        <v>8.7600050333264415E-2</v>
      </c>
      <c r="U1318" s="20"/>
    </row>
    <row r="1319" spans="15:21" x14ac:dyDescent="0.35">
      <c r="O1319" s="18">
        <v>5</v>
      </c>
      <c r="P1319" s="18">
        <f t="shared" si="111"/>
        <v>6585</v>
      </c>
      <c r="Q1319" s="3">
        <f t="shared" si="114"/>
        <v>4.3720496330871899E-6</v>
      </c>
      <c r="R1319" s="3">
        <f t="shared" si="110"/>
        <v>2.1860248165435949E-5</v>
      </c>
      <c r="S1319" s="3">
        <f t="shared" si="112"/>
        <v>0.23743327457363297</v>
      </c>
      <c r="T1319" s="20">
        <f t="shared" si="113"/>
        <v>8.7440992661743794E-2</v>
      </c>
      <c r="U1319" s="20"/>
    </row>
    <row r="1320" spans="15:21" x14ac:dyDescent="0.35">
      <c r="O1320" s="18">
        <v>5</v>
      </c>
      <c r="P1320" s="18">
        <f t="shared" si="111"/>
        <v>6590</v>
      </c>
      <c r="Q1320" s="3">
        <f t="shared" si="114"/>
        <v>4.3641123982629459E-6</v>
      </c>
      <c r="R1320" s="3">
        <f t="shared" si="110"/>
        <v>2.1820561991314729E-5</v>
      </c>
      <c r="S1320" s="3">
        <f t="shared" si="112"/>
        <v>0.23745513482179842</v>
      </c>
      <c r="T1320" s="20">
        <f t="shared" si="113"/>
        <v>8.7282247965258908E-2</v>
      </c>
      <c r="U1320" s="20"/>
    </row>
    <row r="1321" spans="15:21" x14ac:dyDescent="0.35">
      <c r="O1321" s="18">
        <v>5</v>
      </c>
      <c r="P1321" s="18">
        <f t="shared" si="111"/>
        <v>6595</v>
      </c>
      <c r="Q1321" s="3">
        <f t="shared" si="114"/>
        <v>4.3561907769238888E-6</v>
      </c>
      <c r="R1321" s="3">
        <f t="shared" si="110"/>
        <v>2.1780953884619443E-5</v>
      </c>
      <c r="S1321" s="3">
        <f t="shared" si="112"/>
        <v>0.23747695538378974</v>
      </c>
      <c r="T1321" s="20">
        <f t="shared" si="113"/>
        <v>8.712381553847777E-2</v>
      </c>
      <c r="U1321" s="20"/>
    </row>
    <row r="1322" spans="15:21" x14ac:dyDescent="0.35">
      <c r="O1322" s="18">
        <v>5</v>
      </c>
      <c r="P1322" s="18">
        <f t="shared" si="111"/>
        <v>6600</v>
      </c>
      <c r="Q1322" s="3">
        <f t="shared" si="114"/>
        <v>4.3482847338996997E-6</v>
      </c>
      <c r="R1322" s="3">
        <f t="shared" si="110"/>
        <v>2.1741423669498498E-5</v>
      </c>
      <c r="S1322" s="3">
        <f t="shared" si="112"/>
        <v>0.23749873633767435</v>
      </c>
      <c r="T1322" s="20">
        <f t="shared" si="113"/>
        <v>8.696569467799399E-2</v>
      </c>
      <c r="U1322" s="20"/>
    </row>
    <row r="1323" spans="15:21" x14ac:dyDescent="0.35">
      <c r="O1323" s="18">
        <v>5</v>
      </c>
      <c r="P1323" s="18">
        <f t="shared" si="111"/>
        <v>6605</v>
      </c>
      <c r="Q1323" s="3">
        <f t="shared" si="114"/>
        <v>4.3403942341159961E-6</v>
      </c>
      <c r="R1323" s="3">
        <f t="shared" si="110"/>
        <v>2.1701971170579981E-5</v>
      </c>
      <c r="S1323" s="3">
        <f t="shared" si="112"/>
        <v>0.23752047776134386</v>
      </c>
      <c r="T1323" s="20">
        <f t="shared" si="113"/>
        <v>8.6807884682319925E-2</v>
      </c>
      <c r="U1323" s="20"/>
    </row>
    <row r="1324" spans="15:21" x14ac:dyDescent="0.35">
      <c r="O1324" s="18">
        <v>5</v>
      </c>
      <c r="P1324" s="18">
        <f t="shared" si="111"/>
        <v>6610</v>
      </c>
      <c r="Q1324" s="3">
        <f t="shared" si="114"/>
        <v>4.3325192425940519E-6</v>
      </c>
      <c r="R1324" s="3">
        <f t="shared" si="110"/>
        <v>2.166259621297026E-5</v>
      </c>
      <c r="S1324" s="3">
        <f t="shared" si="112"/>
        <v>0.23754217973251443</v>
      </c>
      <c r="T1324" s="20">
        <f t="shared" si="113"/>
        <v>8.6650384851881035E-2</v>
      </c>
      <c r="U1324" s="20"/>
    </row>
    <row r="1325" spans="15:21" x14ac:dyDescent="0.35">
      <c r="O1325" s="18">
        <v>5</v>
      </c>
      <c r="P1325" s="18">
        <f t="shared" si="111"/>
        <v>6615</v>
      </c>
      <c r="Q1325" s="3">
        <f t="shared" si="114"/>
        <v>4.3246597244504211E-6</v>
      </c>
      <c r="R1325" s="3">
        <f t="shared" si="110"/>
        <v>2.1623298622252105E-5</v>
      </c>
      <c r="S1325" s="3">
        <f t="shared" si="112"/>
        <v>0.2375638423287274</v>
      </c>
      <c r="T1325" s="20">
        <f t="shared" si="113"/>
        <v>8.6493194489008413E-2</v>
      </c>
      <c r="U1325" s="20"/>
    </row>
    <row r="1326" spans="15:21" x14ac:dyDescent="0.35">
      <c r="O1326" s="18">
        <v>5</v>
      </c>
      <c r="P1326" s="18">
        <f t="shared" si="111"/>
        <v>6620</v>
      </c>
      <c r="Q1326" s="3">
        <f t="shared" si="114"/>
        <v>4.316815644896655E-6</v>
      </c>
      <c r="R1326" s="3">
        <f t="shared" si="110"/>
        <v>2.1584078224483276E-5</v>
      </c>
      <c r="S1326" s="3">
        <f t="shared" si="112"/>
        <v>0.23758546562734967</v>
      </c>
      <c r="T1326" s="20">
        <f t="shared" si="113"/>
        <v>8.6336312897933101E-2</v>
      </c>
      <c r="U1326" s="20"/>
    </row>
    <row r="1327" spans="15:21" x14ac:dyDescent="0.35">
      <c r="O1327" s="18">
        <v>5</v>
      </c>
      <c r="P1327" s="18">
        <f t="shared" si="111"/>
        <v>6625</v>
      </c>
      <c r="Q1327" s="3">
        <f t="shared" si="114"/>
        <v>4.3089869692389736E-6</v>
      </c>
      <c r="R1327" s="3">
        <f t="shared" si="110"/>
        <v>2.154493484619487E-5</v>
      </c>
      <c r="S1327" s="3">
        <f t="shared" si="112"/>
        <v>0.23760704970557414</v>
      </c>
      <c r="T1327" s="20">
        <f t="shared" si="113"/>
        <v>8.6179739384779463E-2</v>
      </c>
      <c r="U1327" s="20"/>
    </row>
    <row r="1328" spans="15:21" x14ac:dyDescent="0.35">
      <c r="O1328" s="18">
        <v>5</v>
      </c>
      <c r="P1328" s="18">
        <f t="shared" si="111"/>
        <v>6630</v>
      </c>
      <c r="Q1328" s="3">
        <f t="shared" si="114"/>
        <v>4.3011736628779242E-6</v>
      </c>
      <c r="R1328" s="3">
        <f t="shared" si="110"/>
        <v>2.150586831438962E-5</v>
      </c>
      <c r="S1328" s="3">
        <f t="shared" si="112"/>
        <v>0.23762859464042033</v>
      </c>
      <c r="T1328" s="20">
        <f t="shared" si="113"/>
        <v>8.6023473257558478E-2</v>
      </c>
      <c r="U1328" s="20"/>
    </row>
    <row r="1329" spans="15:21" x14ac:dyDescent="0.35">
      <c r="O1329" s="18">
        <v>5</v>
      </c>
      <c r="P1329" s="18">
        <f t="shared" si="111"/>
        <v>6635</v>
      </c>
      <c r="Q1329" s="3">
        <f t="shared" si="114"/>
        <v>4.2933756913080772E-6</v>
      </c>
      <c r="R1329" s="3">
        <f t="shared" si="110"/>
        <v>2.1466878456540387E-5</v>
      </c>
      <c r="S1329" s="3">
        <f t="shared" si="112"/>
        <v>0.23765010050873472</v>
      </c>
      <c r="T1329" s="20">
        <f t="shared" si="113"/>
        <v>8.5867513826161534E-2</v>
      </c>
      <c r="U1329" s="20"/>
    </row>
    <row r="1330" spans="15:21" x14ac:dyDescent="0.35">
      <c r="O1330" s="18">
        <v>5</v>
      </c>
      <c r="P1330" s="18">
        <f t="shared" si="111"/>
        <v>6640</v>
      </c>
      <c r="Q1330" s="3">
        <f t="shared" si="114"/>
        <v>4.2855930201177297E-6</v>
      </c>
      <c r="R1330" s="3">
        <f t="shared" si="110"/>
        <v>2.1427965100588649E-5</v>
      </c>
      <c r="S1330" s="3">
        <f t="shared" si="112"/>
        <v>0.23767156738719125</v>
      </c>
      <c r="T1330" s="20">
        <f t="shared" si="113"/>
        <v>8.5711860402354595E-2</v>
      </c>
      <c r="U1330" s="20"/>
    </row>
    <row r="1331" spans="15:21" x14ac:dyDescent="0.35">
      <c r="O1331" s="18">
        <v>5</v>
      </c>
      <c r="P1331" s="18">
        <f t="shared" si="111"/>
        <v>6645</v>
      </c>
      <c r="Q1331" s="3">
        <f t="shared" si="114"/>
        <v>4.2778256149885424E-6</v>
      </c>
      <c r="R1331" s="3">
        <f t="shared" si="110"/>
        <v>2.1389128074942712E-5</v>
      </c>
      <c r="S1331" s="3">
        <f t="shared" si="112"/>
        <v>0.23769299535229185</v>
      </c>
      <c r="T1331" s="20">
        <f t="shared" si="113"/>
        <v>8.5556512299770848E-2</v>
      </c>
      <c r="U1331" s="20"/>
    </row>
    <row r="1332" spans="15:21" x14ac:dyDescent="0.35">
      <c r="O1332" s="18">
        <v>5</v>
      </c>
      <c r="P1332" s="18">
        <f t="shared" si="111"/>
        <v>6650</v>
      </c>
      <c r="Q1332" s="3">
        <f t="shared" si="114"/>
        <v>4.2700734416952791E-6</v>
      </c>
      <c r="R1332" s="3">
        <f t="shared" si="110"/>
        <v>2.1350367208476395E-5</v>
      </c>
      <c r="S1332" s="3">
        <f t="shared" si="112"/>
        <v>0.2377143844803668</v>
      </c>
      <c r="T1332" s="20">
        <f t="shared" si="113"/>
        <v>8.5401468833905578E-2</v>
      </c>
      <c r="U1332" s="20"/>
    </row>
    <row r="1333" spans="15:21" x14ac:dyDescent="0.35">
      <c r="O1333" s="18">
        <v>5</v>
      </c>
      <c r="P1333" s="18">
        <f t="shared" si="111"/>
        <v>6655</v>
      </c>
      <c r="Q1333" s="3">
        <f t="shared" si="114"/>
        <v>4.2623364661054537E-6</v>
      </c>
      <c r="R1333" s="3">
        <f t="shared" si="110"/>
        <v>2.1311682330527268E-5</v>
      </c>
      <c r="S1333" s="3">
        <f t="shared" si="112"/>
        <v>0.23773573484757529</v>
      </c>
      <c r="T1333" s="20">
        <f t="shared" si="113"/>
        <v>8.5246729322109069E-2</v>
      </c>
      <c r="U1333" s="20"/>
    </row>
    <row r="1334" spans="15:21" x14ac:dyDescent="0.35">
      <c r="O1334" s="18">
        <v>5</v>
      </c>
      <c r="P1334" s="18">
        <f t="shared" si="111"/>
        <v>6660</v>
      </c>
      <c r="Q1334" s="3">
        <f t="shared" si="114"/>
        <v>4.2546146541790423E-6</v>
      </c>
      <c r="R1334" s="3">
        <f t="shared" si="110"/>
        <v>2.1273073270895212E-5</v>
      </c>
      <c r="S1334" s="3">
        <f t="shared" si="112"/>
        <v>0.23775704652990581</v>
      </c>
      <c r="T1334" s="20">
        <f t="shared" si="113"/>
        <v>8.5092293083580836E-2</v>
      </c>
      <c r="U1334" s="20"/>
    </row>
    <row r="1335" spans="15:21" x14ac:dyDescent="0.35">
      <c r="O1335" s="18">
        <v>5</v>
      </c>
      <c r="P1335" s="18">
        <f t="shared" si="111"/>
        <v>6665</v>
      </c>
      <c r="Q1335" s="3">
        <f t="shared" si="114"/>
        <v>4.2469079719681427E-6</v>
      </c>
      <c r="R1335" s="3">
        <f t="shared" si="110"/>
        <v>2.1234539859840714E-5</v>
      </c>
      <c r="S1335" s="3">
        <f t="shared" si="112"/>
        <v>0.23777831960317672</v>
      </c>
      <c r="T1335" s="20">
        <f t="shared" si="113"/>
        <v>8.4938159439362851E-2</v>
      </c>
      <c r="U1335" s="20"/>
    </row>
    <row r="1336" spans="15:21" x14ac:dyDescent="0.35">
      <c r="O1336" s="18">
        <v>5</v>
      </c>
      <c r="P1336" s="18">
        <f t="shared" si="111"/>
        <v>6670</v>
      </c>
      <c r="Q1336" s="3">
        <f t="shared" si="114"/>
        <v>4.2392163856167091E-6</v>
      </c>
      <c r="R1336" s="3">
        <f t="shared" si="110"/>
        <v>2.1196081928083544E-5</v>
      </c>
      <c r="S1336" s="3">
        <f t="shared" si="112"/>
        <v>0.23779955414303655</v>
      </c>
      <c r="T1336" s="20">
        <f t="shared" si="113"/>
        <v>8.4784327712334198E-2</v>
      </c>
      <c r="U1336" s="20"/>
    </row>
    <row r="1337" spans="15:21" x14ac:dyDescent="0.35">
      <c r="O1337" s="18">
        <v>5</v>
      </c>
      <c r="P1337" s="18">
        <f t="shared" si="111"/>
        <v>6675</v>
      </c>
      <c r="Q1337" s="3">
        <f t="shared" si="114"/>
        <v>4.2315398613602022E-6</v>
      </c>
      <c r="R1337" s="3">
        <f t="shared" si="110"/>
        <v>2.1157699306801012E-5</v>
      </c>
      <c r="S1337" s="3">
        <f t="shared" si="112"/>
        <v>0.23782075022496463</v>
      </c>
      <c r="T1337" s="20">
        <f t="shared" si="113"/>
        <v>8.4630797227204041E-2</v>
      </c>
      <c r="U1337" s="20"/>
    </row>
    <row r="1338" spans="15:21" x14ac:dyDescent="0.35">
      <c r="O1338" s="18">
        <v>5</v>
      </c>
      <c r="P1338" s="18">
        <f t="shared" si="111"/>
        <v>6680</v>
      </c>
      <c r="Q1338" s="3">
        <f t="shared" si="114"/>
        <v>4.2238783655253024E-6</v>
      </c>
      <c r="R1338" s="3">
        <f t="shared" si="110"/>
        <v>2.1119391827626513E-5</v>
      </c>
      <c r="S1338" s="3">
        <f t="shared" si="112"/>
        <v>0.23784190792427143</v>
      </c>
      <c r="T1338" s="20">
        <f t="shared" si="113"/>
        <v>8.4477567310506055E-2</v>
      </c>
      <c r="U1338" s="20"/>
    </row>
    <row r="1339" spans="15:21" x14ac:dyDescent="0.35">
      <c r="O1339" s="18">
        <v>5</v>
      </c>
      <c r="P1339" s="18">
        <f t="shared" si="111"/>
        <v>6685</v>
      </c>
      <c r="Q1339" s="3">
        <f t="shared" si="114"/>
        <v>4.2162318645296022E-6</v>
      </c>
      <c r="R1339" s="3">
        <f t="shared" si="110"/>
        <v>2.1081159322648011E-5</v>
      </c>
      <c r="S1339" s="3">
        <f t="shared" si="112"/>
        <v>0.23786302731609907</v>
      </c>
      <c r="T1339" s="20">
        <f t="shared" si="113"/>
        <v>8.4324637290592044E-2</v>
      </c>
      <c r="U1339" s="20"/>
    </row>
    <row r="1340" spans="15:21" x14ac:dyDescent="0.35">
      <c r="O1340" s="18">
        <v>5</v>
      </c>
      <c r="P1340" s="18">
        <f t="shared" si="111"/>
        <v>6690</v>
      </c>
      <c r="Q1340" s="3">
        <f t="shared" si="114"/>
        <v>4.2086003248813155E-6</v>
      </c>
      <c r="R1340" s="3">
        <f t="shared" si="110"/>
        <v>2.1043001624406577E-5</v>
      </c>
      <c r="S1340" s="3">
        <f t="shared" si="112"/>
        <v>0.23788410847542171</v>
      </c>
      <c r="T1340" s="20">
        <f t="shared" si="113"/>
        <v>8.4172006497626309E-2</v>
      </c>
      <c r="U1340" s="20"/>
    </row>
    <row r="1341" spans="15:21" x14ac:dyDescent="0.35">
      <c r="O1341" s="18">
        <v>5</v>
      </c>
      <c r="P1341" s="18">
        <f t="shared" si="111"/>
        <v>6695</v>
      </c>
      <c r="Q1341" s="3">
        <f t="shared" si="114"/>
        <v>4.2009837131789482E-6</v>
      </c>
      <c r="R1341" s="3">
        <f t="shared" si="110"/>
        <v>2.1004918565894742E-5</v>
      </c>
      <c r="S1341" s="3">
        <f t="shared" si="112"/>
        <v>0.23790515147704611</v>
      </c>
      <c r="T1341" s="20">
        <f t="shared" si="113"/>
        <v>8.4019674263578967E-2</v>
      </c>
      <c r="U1341" s="20"/>
    </row>
    <row r="1342" spans="15:21" x14ac:dyDescent="0.35">
      <c r="O1342" s="18">
        <v>5</v>
      </c>
      <c r="P1342" s="18">
        <f t="shared" si="111"/>
        <v>6700</v>
      </c>
      <c r="Q1342" s="3">
        <f t="shared" si="114"/>
        <v>4.1933819961110035E-6</v>
      </c>
      <c r="R1342" s="3">
        <f t="shared" si="110"/>
        <v>2.0966909980555018E-5</v>
      </c>
      <c r="S1342" s="3">
        <f t="shared" si="112"/>
        <v>0.23792615639561199</v>
      </c>
      <c r="T1342" s="20">
        <f t="shared" si="113"/>
        <v>8.3867639922220072E-2</v>
      </c>
      <c r="U1342" s="20"/>
    </row>
    <row r="1343" spans="15:21" x14ac:dyDescent="0.35">
      <c r="O1343" s="18">
        <v>5</v>
      </c>
      <c r="P1343" s="18">
        <f t="shared" si="111"/>
        <v>6705</v>
      </c>
      <c r="Q1343" s="3">
        <f t="shared" si="114"/>
        <v>4.1857951404556931E-6</v>
      </c>
      <c r="R1343" s="3">
        <f t="shared" si="110"/>
        <v>2.0928975702278466E-5</v>
      </c>
      <c r="S1343" s="3">
        <f t="shared" si="112"/>
        <v>0.23794712330559253</v>
      </c>
      <c r="T1343" s="20">
        <f t="shared" si="113"/>
        <v>8.3715902809113854E-2</v>
      </c>
      <c r="U1343" s="20"/>
    </row>
    <row r="1344" spans="15:21" x14ac:dyDescent="0.35">
      <c r="O1344" s="18">
        <v>5</v>
      </c>
      <c r="P1344" s="18">
        <f t="shared" si="111"/>
        <v>6710</v>
      </c>
      <c r="Q1344" s="3">
        <f t="shared" si="114"/>
        <v>4.1782231130806345E-6</v>
      </c>
      <c r="R1344" s="3">
        <f t="shared" si="110"/>
        <v>2.0891115565403174E-5</v>
      </c>
      <c r="S1344" s="3">
        <f t="shared" si="112"/>
        <v>0.23796805228129481</v>
      </c>
      <c r="T1344" s="20">
        <f t="shared" si="113"/>
        <v>8.3564462261612682E-2</v>
      </c>
      <c r="U1344" s="20"/>
    </row>
    <row r="1345" spans="15:21" x14ac:dyDescent="0.35">
      <c r="O1345" s="18">
        <v>5</v>
      </c>
      <c r="P1345" s="18">
        <f t="shared" si="111"/>
        <v>6715</v>
      </c>
      <c r="Q1345" s="3">
        <f t="shared" si="114"/>
        <v>4.1706658809425389E-6</v>
      </c>
      <c r="R1345" s="3">
        <f t="shared" si="110"/>
        <v>2.0853329404712693E-5</v>
      </c>
      <c r="S1345" s="3">
        <f t="shared" si="112"/>
        <v>0.23798894339686022</v>
      </c>
      <c r="T1345" s="20">
        <f t="shared" si="113"/>
        <v>8.3413317618850777E-2</v>
      </c>
      <c r="U1345" s="20"/>
    </row>
    <row r="1346" spans="15:21" x14ac:dyDescent="0.35">
      <c r="O1346" s="18">
        <v>5</v>
      </c>
      <c r="P1346" s="18">
        <f t="shared" si="111"/>
        <v>6720</v>
      </c>
      <c r="Q1346" s="3">
        <f t="shared" si="114"/>
        <v>4.1631234110869457E-6</v>
      </c>
      <c r="R1346" s="3">
        <f t="shared" ref="R1346:R1402" si="115">Q1346*O1346</f>
        <v>2.0815617055434729E-5</v>
      </c>
      <c r="S1346" s="3">
        <f t="shared" si="112"/>
        <v>0.23800979672626493</v>
      </c>
      <c r="T1346" s="20">
        <f t="shared" si="113"/>
        <v>8.3262468221738911E-2</v>
      </c>
      <c r="U1346" s="20"/>
    </row>
    <row r="1347" spans="15:21" x14ac:dyDescent="0.35">
      <c r="O1347" s="18">
        <v>5</v>
      </c>
      <c r="P1347" s="18">
        <f t="shared" ref="P1347:P1402" si="116">O1347+P1346</f>
        <v>6725</v>
      </c>
      <c r="Q1347" s="3">
        <f t="shared" si="114"/>
        <v>4.1555956706478856E-6</v>
      </c>
      <c r="R1347" s="3">
        <f t="shared" si="115"/>
        <v>2.0777978353239427E-5</v>
      </c>
      <c r="S1347" s="3">
        <f t="shared" ref="S1347:S1402" si="117">S1346+R1346</f>
        <v>0.23803061234332037</v>
      </c>
      <c r="T1347" s="20">
        <f t="shared" ref="T1347:T1402" si="118">Q1347*$B$9*$B$2*0.5/$B$11</f>
        <v>8.3111913412957705E-2</v>
      </c>
      <c r="U1347" s="20"/>
    </row>
    <row r="1348" spans="15:21" x14ac:dyDescent="0.35">
      <c r="O1348" s="18">
        <v>5</v>
      </c>
      <c r="P1348" s="18">
        <f t="shared" si="116"/>
        <v>6730</v>
      </c>
      <c r="Q1348" s="3">
        <f t="shared" ref="Q1348:Q1402" si="119">$T$2*(1-(S1348/$B$12))/($B$9*((0.5*$B$2/$B$11)+(S1348/$B$10)))</f>
        <v>4.1480826268476255E-6</v>
      </c>
      <c r="R1348" s="3">
        <f t="shared" si="115"/>
        <v>2.0740413134238128E-5</v>
      </c>
      <c r="S1348" s="3">
        <f t="shared" si="117"/>
        <v>0.23805139032167361</v>
      </c>
      <c r="T1348" s="20">
        <f t="shared" si="118"/>
        <v>8.2961652536952507E-2</v>
      </c>
      <c r="U1348" s="20"/>
    </row>
    <row r="1349" spans="15:21" x14ac:dyDescent="0.35">
      <c r="O1349" s="18">
        <v>5</v>
      </c>
      <c r="P1349" s="18">
        <f t="shared" si="116"/>
        <v>6735</v>
      </c>
      <c r="Q1349" s="3">
        <f t="shared" si="119"/>
        <v>4.1405842469963357E-6</v>
      </c>
      <c r="R1349" s="3">
        <f t="shared" si="115"/>
        <v>2.0702921234981677E-5</v>
      </c>
      <c r="S1349" s="3">
        <f t="shared" si="117"/>
        <v>0.23807213073480785</v>
      </c>
      <c r="T1349" s="20">
        <f t="shared" si="118"/>
        <v>8.2811684939926702E-2</v>
      </c>
      <c r="U1349" s="20"/>
    </row>
    <row r="1350" spans="15:21" x14ac:dyDescent="0.35">
      <c r="O1350" s="18">
        <v>5</v>
      </c>
      <c r="P1350" s="18">
        <f t="shared" si="116"/>
        <v>6740</v>
      </c>
      <c r="Q1350" s="3">
        <f t="shared" si="119"/>
        <v>4.1331004984918341E-6</v>
      </c>
      <c r="R1350" s="3">
        <f t="shared" si="115"/>
        <v>2.0665502492459171E-5</v>
      </c>
      <c r="S1350" s="3">
        <f t="shared" si="117"/>
        <v>0.23809283365604283</v>
      </c>
      <c r="T1350" s="20">
        <f t="shared" si="118"/>
        <v>8.2662009969836678E-2</v>
      </c>
      <c r="U1350" s="20"/>
    </row>
    <row r="1351" spans="15:21" x14ac:dyDescent="0.35">
      <c r="O1351" s="18">
        <v>5</v>
      </c>
      <c r="P1351" s="18">
        <f t="shared" si="116"/>
        <v>6745</v>
      </c>
      <c r="Q1351" s="3">
        <f t="shared" si="119"/>
        <v>4.1256313488192737E-6</v>
      </c>
      <c r="R1351" s="3">
        <f t="shared" si="115"/>
        <v>2.0628156744096367E-5</v>
      </c>
      <c r="S1351" s="3">
        <f t="shared" si="117"/>
        <v>0.2381134991585353</v>
      </c>
      <c r="T1351" s="20">
        <f t="shared" si="118"/>
        <v>8.2512626976385464E-2</v>
      </c>
      <c r="U1351" s="20"/>
    </row>
    <row r="1352" spans="15:21" x14ac:dyDescent="0.35">
      <c r="O1352" s="18">
        <v>5</v>
      </c>
      <c r="P1352" s="18">
        <f t="shared" si="116"/>
        <v>6750</v>
      </c>
      <c r="Q1352" s="3">
        <f t="shared" si="119"/>
        <v>4.1181767655508722E-6</v>
      </c>
      <c r="R1352" s="3">
        <f t="shared" si="115"/>
        <v>2.0590883827754362E-5</v>
      </c>
      <c r="S1352" s="3">
        <f t="shared" si="117"/>
        <v>0.23813412731527939</v>
      </c>
      <c r="T1352" s="20">
        <f t="shared" si="118"/>
        <v>8.2363535311017436E-2</v>
      </c>
      <c r="U1352" s="20"/>
    </row>
    <row r="1353" spans="15:21" x14ac:dyDescent="0.35">
      <c r="O1353" s="18">
        <v>5</v>
      </c>
      <c r="P1353" s="18">
        <f t="shared" si="116"/>
        <v>6755</v>
      </c>
      <c r="Q1353" s="3">
        <f t="shared" si="119"/>
        <v>4.110736716345587E-6</v>
      </c>
      <c r="R1353" s="3">
        <f t="shared" si="115"/>
        <v>2.0553683581727937E-5</v>
      </c>
      <c r="S1353" s="3">
        <f t="shared" si="117"/>
        <v>0.23815471819910713</v>
      </c>
      <c r="T1353" s="20">
        <f t="shared" si="118"/>
        <v>8.2214734326911731E-2</v>
      </c>
      <c r="U1353" s="20"/>
    </row>
    <row r="1354" spans="15:21" x14ac:dyDescent="0.35">
      <c r="O1354" s="18">
        <v>5</v>
      </c>
      <c r="P1354" s="18">
        <f t="shared" si="116"/>
        <v>6760</v>
      </c>
      <c r="Q1354" s="3">
        <f t="shared" si="119"/>
        <v>4.103311168948865E-6</v>
      </c>
      <c r="R1354" s="3">
        <f t="shared" si="115"/>
        <v>2.0516555844744325E-5</v>
      </c>
      <c r="S1354" s="3">
        <f t="shared" si="117"/>
        <v>0.23817527188268886</v>
      </c>
      <c r="T1354" s="20">
        <f t="shared" si="118"/>
        <v>8.2066223378977302E-2</v>
      </c>
      <c r="U1354" s="20"/>
    </row>
    <row r="1355" spans="15:21" x14ac:dyDescent="0.35">
      <c r="O1355" s="18">
        <v>5</v>
      </c>
      <c r="P1355" s="18">
        <f t="shared" si="116"/>
        <v>6765</v>
      </c>
      <c r="Q1355" s="3">
        <f t="shared" si="119"/>
        <v>4.0959000911923362E-6</v>
      </c>
      <c r="R1355" s="3">
        <f t="shared" si="115"/>
        <v>2.047950045596168E-5</v>
      </c>
      <c r="S1355" s="3">
        <f t="shared" si="117"/>
        <v>0.23819578843853362</v>
      </c>
      <c r="T1355" s="20">
        <f t="shared" si="118"/>
        <v>8.1918001823846717E-2</v>
      </c>
      <c r="U1355" s="20"/>
    </row>
    <row r="1356" spans="15:21" x14ac:dyDescent="0.35">
      <c r="O1356" s="18">
        <v>5</v>
      </c>
      <c r="P1356" s="18">
        <f t="shared" si="116"/>
        <v>6770</v>
      </c>
      <c r="Q1356" s="3">
        <f t="shared" si="119"/>
        <v>4.0885034509935488E-6</v>
      </c>
      <c r="R1356" s="3">
        <f t="shared" si="115"/>
        <v>2.0442517254967745E-5</v>
      </c>
      <c r="S1356" s="3">
        <f t="shared" si="117"/>
        <v>0.23821626793898959</v>
      </c>
      <c r="T1356" s="20">
        <f t="shared" si="118"/>
        <v>8.1770069019870967E-2</v>
      </c>
      <c r="U1356" s="20"/>
    </row>
    <row r="1357" spans="15:21" x14ac:dyDescent="0.35">
      <c r="O1357" s="18">
        <v>5</v>
      </c>
      <c r="P1357" s="18">
        <f t="shared" si="116"/>
        <v>6775</v>
      </c>
      <c r="Q1357" s="3">
        <f t="shared" si="119"/>
        <v>4.0811212163556603E-6</v>
      </c>
      <c r="R1357" s="3">
        <f t="shared" si="115"/>
        <v>2.0405606081778303E-5</v>
      </c>
      <c r="S1357" s="3">
        <f t="shared" si="117"/>
        <v>0.23823671045624456</v>
      </c>
      <c r="T1357" s="20">
        <f t="shared" si="118"/>
        <v>8.1622424327113197E-2</v>
      </c>
      <c r="U1357" s="20"/>
    </row>
    <row r="1358" spans="15:21" x14ac:dyDescent="0.35">
      <c r="O1358" s="18">
        <v>5</v>
      </c>
      <c r="P1358" s="18">
        <f t="shared" si="116"/>
        <v>6780</v>
      </c>
      <c r="Q1358" s="3">
        <f t="shared" si="119"/>
        <v>4.0737533553671712E-6</v>
      </c>
      <c r="R1358" s="3">
        <f t="shared" si="115"/>
        <v>2.0368766776835855E-5</v>
      </c>
      <c r="S1358" s="3">
        <f t="shared" si="117"/>
        <v>0.23825711606232633</v>
      </c>
      <c r="T1358" s="20">
        <f t="shared" si="118"/>
        <v>8.1475067107343424E-2</v>
      </c>
      <c r="U1358" s="20"/>
    </row>
    <row r="1359" spans="15:21" x14ac:dyDescent="0.35">
      <c r="O1359" s="18">
        <v>5</v>
      </c>
      <c r="P1359" s="18">
        <f t="shared" si="116"/>
        <v>6785</v>
      </c>
      <c r="Q1359" s="3">
        <f t="shared" si="119"/>
        <v>4.0663998362016307E-6</v>
      </c>
      <c r="R1359" s="3">
        <f t="shared" si="115"/>
        <v>2.0331999181008154E-5</v>
      </c>
      <c r="S1359" s="3">
        <f t="shared" si="117"/>
        <v>0.23827748482910316</v>
      </c>
      <c r="T1359" s="20">
        <f t="shared" si="118"/>
        <v>8.1327996724032611E-2</v>
      </c>
      <c r="U1359" s="20"/>
    </row>
    <row r="1360" spans="15:21" x14ac:dyDescent="0.35">
      <c r="O1360" s="18">
        <v>5</v>
      </c>
      <c r="P1360" s="18">
        <f t="shared" si="116"/>
        <v>6790</v>
      </c>
      <c r="Q1360" s="3">
        <f t="shared" si="119"/>
        <v>4.0590606271173677E-6</v>
      </c>
      <c r="R1360" s="3">
        <f t="shared" si="115"/>
        <v>2.0295303135586837E-5</v>
      </c>
      <c r="S1360" s="3">
        <f t="shared" si="117"/>
        <v>0.23829781682828416</v>
      </c>
      <c r="T1360" s="20">
        <f t="shared" si="118"/>
        <v>8.118121254234735E-2</v>
      </c>
      <c r="U1360" s="20"/>
    </row>
    <row r="1361" spans="15:21" x14ac:dyDescent="0.35">
      <c r="O1361" s="18">
        <v>5</v>
      </c>
      <c r="P1361" s="18">
        <f t="shared" si="116"/>
        <v>6795</v>
      </c>
      <c r="Q1361" s="3">
        <f t="shared" si="119"/>
        <v>4.0517356964572093E-6</v>
      </c>
      <c r="R1361" s="3">
        <f t="shared" si="115"/>
        <v>2.0258678482286048E-5</v>
      </c>
      <c r="S1361" s="3">
        <f t="shared" si="117"/>
        <v>0.23831811213141973</v>
      </c>
      <c r="T1361" s="20">
        <f t="shared" si="118"/>
        <v>8.1034713929144186E-2</v>
      </c>
      <c r="U1361" s="20"/>
    </row>
    <row r="1362" spans="15:21" x14ac:dyDescent="0.35">
      <c r="O1362" s="18">
        <v>5</v>
      </c>
      <c r="P1362" s="18">
        <f t="shared" si="116"/>
        <v>6800</v>
      </c>
      <c r="Q1362" s="3">
        <f t="shared" si="119"/>
        <v>4.0444250126481889E-6</v>
      </c>
      <c r="R1362" s="3">
        <f t="shared" si="115"/>
        <v>2.0222125063240943E-5</v>
      </c>
      <c r="S1362" s="3">
        <f t="shared" si="117"/>
        <v>0.23833837080990203</v>
      </c>
      <c r="T1362" s="20">
        <f t="shared" si="118"/>
        <v>8.0888500252963777E-2</v>
      </c>
      <c r="U1362" s="20"/>
    </row>
    <row r="1363" spans="15:21" x14ac:dyDescent="0.35">
      <c r="O1363" s="18">
        <v>5</v>
      </c>
      <c r="P1363" s="18">
        <f t="shared" si="116"/>
        <v>6805</v>
      </c>
      <c r="Q1363" s="3">
        <f t="shared" si="119"/>
        <v>4.0371285442012983E-6</v>
      </c>
      <c r="R1363" s="3">
        <f t="shared" si="115"/>
        <v>2.0185642721006493E-5</v>
      </c>
      <c r="S1363" s="3">
        <f t="shared" si="117"/>
        <v>0.23835859293496528</v>
      </c>
      <c r="T1363" s="20">
        <f t="shared" si="118"/>
        <v>8.0742570884025963E-2</v>
      </c>
      <c r="U1363" s="20"/>
    </row>
    <row r="1364" spans="15:21" x14ac:dyDescent="0.35">
      <c r="O1364" s="18">
        <v>5</v>
      </c>
      <c r="P1364" s="18">
        <f t="shared" si="116"/>
        <v>6810</v>
      </c>
      <c r="Q1364" s="3">
        <f t="shared" si="119"/>
        <v>4.0298462597111944E-6</v>
      </c>
      <c r="R1364" s="3">
        <f t="shared" si="115"/>
        <v>2.0149231298555971E-5</v>
      </c>
      <c r="S1364" s="3">
        <f t="shared" si="117"/>
        <v>0.23837877857768627</v>
      </c>
      <c r="T1364" s="20">
        <f t="shared" si="118"/>
        <v>8.0596925194223901E-2</v>
      </c>
      <c r="U1364" s="20"/>
    </row>
    <row r="1365" spans="15:21" x14ac:dyDescent="0.35">
      <c r="O1365" s="18">
        <v>5</v>
      </c>
      <c r="P1365" s="18">
        <f t="shared" si="116"/>
        <v>6815</v>
      </c>
      <c r="Q1365" s="3">
        <f t="shared" si="119"/>
        <v>4.0225781278559016E-6</v>
      </c>
      <c r="R1365" s="3">
        <f t="shared" si="115"/>
        <v>2.0112890639279507E-5</v>
      </c>
      <c r="S1365" s="3">
        <f t="shared" si="117"/>
        <v>0.23839892780898483</v>
      </c>
      <c r="T1365" s="20">
        <f t="shared" si="118"/>
        <v>8.0451562557118023E-2</v>
      </c>
      <c r="U1365" s="20"/>
    </row>
    <row r="1366" spans="15:21" x14ac:dyDescent="0.35">
      <c r="O1366" s="18">
        <v>5</v>
      </c>
      <c r="P1366" s="18">
        <f t="shared" si="116"/>
        <v>6820</v>
      </c>
      <c r="Q1366" s="3">
        <f t="shared" si="119"/>
        <v>4.0153241173965864E-6</v>
      </c>
      <c r="R1366" s="3">
        <f t="shared" si="115"/>
        <v>2.0076620586982931E-5</v>
      </c>
      <c r="S1366" s="3">
        <f t="shared" si="117"/>
        <v>0.23841904069962411</v>
      </c>
      <c r="T1366" s="20">
        <f t="shared" si="118"/>
        <v>8.0306482347931724E-2</v>
      </c>
      <c r="U1366" s="20"/>
    </row>
    <row r="1367" spans="15:21" x14ac:dyDescent="0.35">
      <c r="O1367" s="18">
        <v>5</v>
      </c>
      <c r="P1367" s="18">
        <f t="shared" si="116"/>
        <v>6825</v>
      </c>
      <c r="Q1367" s="3">
        <f t="shared" si="119"/>
        <v>4.0080841971772408E-6</v>
      </c>
      <c r="R1367" s="3">
        <f t="shared" si="115"/>
        <v>2.0040420985886205E-5</v>
      </c>
      <c r="S1367" s="3">
        <f t="shared" si="117"/>
        <v>0.23843911732021109</v>
      </c>
      <c r="T1367" s="20">
        <f t="shared" si="118"/>
        <v>8.0161683943544809E-2</v>
      </c>
      <c r="U1367" s="20"/>
    </row>
    <row r="1368" spans="15:21" x14ac:dyDescent="0.35">
      <c r="O1368" s="18">
        <v>5</v>
      </c>
      <c r="P1368" s="18">
        <f t="shared" si="116"/>
        <v>6830</v>
      </c>
      <c r="Q1368" s="3">
        <f t="shared" si="119"/>
        <v>4.0008583361244382E-6</v>
      </c>
      <c r="R1368" s="3">
        <f t="shared" si="115"/>
        <v>2.0004291680622191E-5</v>
      </c>
      <c r="S1368" s="3">
        <f t="shared" si="117"/>
        <v>0.23845915774119697</v>
      </c>
      <c r="T1368" s="20">
        <f t="shared" si="118"/>
        <v>8.0017166722488764E-2</v>
      </c>
      <c r="U1368" s="20"/>
    </row>
    <row r="1369" spans="15:21" x14ac:dyDescent="0.35">
      <c r="O1369" s="18">
        <v>5</v>
      </c>
      <c r="P1369" s="18">
        <f t="shared" si="116"/>
        <v>6835</v>
      </c>
      <c r="Q1369" s="3">
        <f t="shared" si="119"/>
        <v>3.9936465032470507E-6</v>
      </c>
      <c r="R1369" s="3">
        <f t="shared" si="115"/>
        <v>1.9968232516235252E-5</v>
      </c>
      <c r="S1369" s="3">
        <f t="shared" si="117"/>
        <v>0.23847916203287758</v>
      </c>
      <c r="T1369" s="20">
        <f t="shared" si="118"/>
        <v>7.9872930064941006E-2</v>
      </c>
      <c r="U1369" s="20"/>
    </row>
    <row r="1370" spans="15:21" x14ac:dyDescent="0.35">
      <c r="O1370" s="18">
        <v>5</v>
      </c>
      <c r="P1370" s="18">
        <f t="shared" si="116"/>
        <v>6840</v>
      </c>
      <c r="Q1370" s="3">
        <f t="shared" si="119"/>
        <v>3.9864486676359753E-6</v>
      </c>
      <c r="R1370" s="3">
        <f t="shared" si="115"/>
        <v>1.9932243338179876E-5</v>
      </c>
      <c r="S1370" s="3">
        <f t="shared" si="117"/>
        <v>0.23849913026539382</v>
      </c>
      <c r="T1370" s="20">
        <f t="shared" si="118"/>
        <v>7.9728973352719501E-2</v>
      </c>
      <c r="U1370" s="20"/>
    </row>
    <row r="1371" spans="15:21" x14ac:dyDescent="0.35">
      <c r="O1371" s="18">
        <v>5</v>
      </c>
      <c r="P1371" s="18">
        <f t="shared" si="116"/>
        <v>6845</v>
      </c>
      <c r="Q1371" s="3">
        <f t="shared" si="119"/>
        <v>3.9792647984638858E-6</v>
      </c>
      <c r="R1371" s="3">
        <f t="shared" si="115"/>
        <v>1.9896323992319431E-5</v>
      </c>
      <c r="S1371" s="3">
        <f t="shared" si="117"/>
        <v>0.238519062508732</v>
      </c>
      <c r="T1371" s="20">
        <f t="shared" si="118"/>
        <v>7.9585295969277714E-2</v>
      </c>
      <c r="U1371" s="20"/>
    </row>
    <row r="1372" spans="15:21" x14ac:dyDescent="0.35">
      <c r="O1372" s="18">
        <v>5</v>
      </c>
      <c r="P1372" s="18">
        <f t="shared" si="116"/>
        <v>6850</v>
      </c>
      <c r="Q1372" s="3">
        <f t="shared" si="119"/>
        <v>3.9720948649849422E-6</v>
      </c>
      <c r="R1372" s="3">
        <f t="shared" si="115"/>
        <v>1.9860474324924711E-5</v>
      </c>
      <c r="S1372" s="3">
        <f t="shared" si="117"/>
        <v>0.23853895883272433</v>
      </c>
      <c r="T1372" s="20">
        <f t="shared" si="118"/>
        <v>7.9441897299698847E-2</v>
      </c>
      <c r="U1372" s="20"/>
    </row>
    <row r="1373" spans="15:21" x14ac:dyDescent="0.35">
      <c r="O1373" s="18">
        <v>5</v>
      </c>
      <c r="P1373" s="18">
        <f t="shared" si="116"/>
        <v>6855</v>
      </c>
      <c r="Q1373" s="3">
        <f t="shared" si="119"/>
        <v>3.9649388365345453E-6</v>
      </c>
      <c r="R1373" s="3">
        <f t="shared" si="115"/>
        <v>1.9824694182672728E-5</v>
      </c>
      <c r="S1373" s="3">
        <f t="shared" si="117"/>
        <v>0.23855881930704925</v>
      </c>
      <c r="T1373" s="20">
        <f t="shared" si="118"/>
        <v>7.9298776730690898E-2</v>
      </c>
      <c r="U1373" s="20"/>
    </row>
    <row r="1374" spans="15:21" x14ac:dyDescent="0.35">
      <c r="O1374" s="18">
        <v>5</v>
      </c>
      <c r="P1374" s="18">
        <f t="shared" si="116"/>
        <v>6860</v>
      </c>
      <c r="Q1374" s="3">
        <f t="shared" si="119"/>
        <v>3.9577966825290425E-6</v>
      </c>
      <c r="R1374" s="3">
        <f t="shared" si="115"/>
        <v>1.9788983412645212E-5</v>
      </c>
      <c r="S1374" s="3">
        <f t="shared" si="117"/>
        <v>0.23857864400123194</v>
      </c>
      <c r="T1374" s="20">
        <f t="shared" si="118"/>
        <v>7.9155933650580851E-2</v>
      </c>
      <c r="U1374" s="20"/>
    </row>
    <row r="1375" spans="15:21" x14ac:dyDescent="0.35">
      <c r="O1375" s="18">
        <v>5</v>
      </c>
      <c r="P1375" s="18">
        <f t="shared" si="116"/>
        <v>6865</v>
      </c>
      <c r="Q1375" s="3">
        <f t="shared" si="119"/>
        <v>3.9506683724655032E-6</v>
      </c>
      <c r="R1375" s="3">
        <f t="shared" si="115"/>
        <v>1.9753341862327514E-5</v>
      </c>
      <c r="S1375" s="3">
        <f t="shared" si="117"/>
        <v>0.23859843298464459</v>
      </c>
      <c r="T1375" s="20">
        <f t="shared" si="118"/>
        <v>7.9013367449310062E-2</v>
      </c>
      <c r="U1375" s="20"/>
    </row>
    <row r="1376" spans="15:21" x14ac:dyDescent="0.35">
      <c r="O1376" s="18">
        <v>5</v>
      </c>
      <c r="P1376" s="18">
        <f t="shared" si="116"/>
        <v>6870</v>
      </c>
      <c r="Q1376" s="3">
        <f t="shared" si="119"/>
        <v>3.9435538759214231E-6</v>
      </c>
      <c r="R1376" s="3">
        <f t="shared" si="115"/>
        <v>1.9717769379607117E-5</v>
      </c>
      <c r="S1376" s="3">
        <f t="shared" si="117"/>
        <v>0.23861818632650691</v>
      </c>
      <c r="T1376" s="20">
        <f t="shared" si="118"/>
        <v>7.8871077518428465E-2</v>
      </c>
      <c r="U1376" s="20"/>
    </row>
    <row r="1377" spans="15:21" x14ac:dyDescent="0.35">
      <c r="O1377" s="18">
        <v>5</v>
      </c>
      <c r="P1377" s="18">
        <f t="shared" si="116"/>
        <v>6875</v>
      </c>
      <c r="Q1377" s="3">
        <f t="shared" si="119"/>
        <v>3.9364531625544682E-6</v>
      </c>
      <c r="R1377" s="3">
        <f t="shared" si="115"/>
        <v>1.9682265812772342E-5</v>
      </c>
      <c r="S1377" s="3">
        <f t="shared" si="117"/>
        <v>0.23863790409588653</v>
      </c>
      <c r="T1377" s="20">
        <f t="shared" si="118"/>
        <v>7.872906325108936E-2</v>
      </c>
      <c r="U1377" s="20"/>
    </row>
    <row r="1378" spans="15:21" x14ac:dyDescent="0.35">
      <c r="O1378" s="18">
        <v>5</v>
      </c>
      <c r="P1378" s="18">
        <f t="shared" si="116"/>
        <v>6880</v>
      </c>
      <c r="Q1378" s="3">
        <f t="shared" si="119"/>
        <v>3.9293662021022327E-6</v>
      </c>
      <c r="R1378" s="3">
        <f t="shared" si="115"/>
        <v>1.9646831010511165E-5</v>
      </c>
      <c r="S1378" s="3">
        <f t="shared" si="117"/>
        <v>0.23865758636169931</v>
      </c>
      <c r="T1378" s="20">
        <f t="shared" si="118"/>
        <v>7.8587324042044646E-2</v>
      </c>
      <c r="U1378" s="20"/>
    </row>
    <row r="1379" spans="15:21" x14ac:dyDescent="0.35">
      <c r="O1379" s="18">
        <v>5</v>
      </c>
      <c r="P1379" s="18">
        <f t="shared" si="116"/>
        <v>6885</v>
      </c>
      <c r="Q1379" s="3">
        <f t="shared" si="119"/>
        <v>3.9222929643819568E-6</v>
      </c>
      <c r="R1379" s="3">
        <f t="shared" si="115"/>
        <v>1.9611464821909782E-5</v>
      </c>
      <c r="S1379" s="3">
        <f t="shared" si="117"/>
        <v>0.23867723319270984</v>
      </c>
      <c r="T1379" s="20">
        <f t="shared" si="118"/>
        <v>7.8445859287639128E-2</v>
      </c>
      <c r="U1379" s="20"/>
    </row>
    <row r="1380" spans="15:21" x14ac:dyDescent="0.35">
      <c r="O1380" s="18">
        <v>5</v>
      </c>
      <c r="P1380" s="18">
        <f t="shared" si="116"/>
        <v>6890</v>
      </c>
      <c r="Q1380" s="3">
        <f t="shared" si="119"/>
        <v>3.9152334192902871E-6</v>
      </c>
      <c r="R1380" s="3">
        <f t="shared" si="115"/>
        <v>1.9576167096451435E-5</v>
      </c>
      <c r="S1380" s="3">
        <f t="shared" si="117"/>
        <v>0.23869684465753174</v>
      </c>
      <c r="T1380" s="20">
        <f t="shared" si="118"/>
        <v>7.8304668385805742E-2</v>
      </c>
      <c r="U1380" s="20"/>
    </row>
    <row r="1381" spans="15:21" x14ac:dyDescent="0.35">
      <c r="O1381" s="18">
        <v>5</v>
      </c>
      <c r="P1381" s="18">
        <f t="shared" si="116"/>
        <v>6895</v>
      </c>
      <c r="Q1381" s="3">
        <f t="shared" si="119"/>
        <v>3.9081875368029955E-6</v>
      </c>
      <c r="R1381" s="3">
        <f t="shared" si="115"/>
        <v>1.9540937684014978E-5</v>
      </c>
      <c r="S1381" s="3">
        <f t="shared" si="117"/>
        <v>0.23871642082462818</v>
      </c>
      <c r="T1381" s="20">
        <f t="shared" si="118"/>
        <v>7.8163750736059912E-2</v>
      </c>
      <c r="U1381" s="20"/>
    </row>
    <row r="1382" spans="15:21" x14ac:dyDescent="0.35">
      <c r="O1382" s="18">
        <v>5</v>
      </c>
      <c r="P1382" s="18">
        <f t="shared" si="116"/>
        <v>6900</v>
      </c>
      <c r="Q1382" s="3">
        <f t="shared" si="119"/>
        <v>3.9011552869747314E-6</v>
      </c>
      <c r="R1382" s="3">
        <f t="shared" si="115"/>
        <v>1.9505776434873657E-5</v>
      </c>
      <c r="S1382" s="3">
        <f t="shared" si="117"/>
        <v>0.23873596176231221</v>
      </c>
      <c r="T1382" s="20">
        <f t="shared" si="118"/>
        <v>7.8023105739494628E-2</v>
      </c>
      <c r="U1382" s="20"/>
    </row>
    <row r="1383" spans="15:21" x14ac:dyDescent="0.35">
      <c r="O1383" s="18">
        <v>5</v>
      </c>
      <c r="P1383" s="18">
        <f t="shared" si="116"/>
        <v>6905</v>
      </c>
      <c r="Q1383" s="3">
        <f t="shared" si="119"/>
        <v>3.8941366399387922E-6</v>
      </c>
      <c r="R1383" s="3">
        <f t="shared" si="115"/>
        <v>1.947068319969396E-5</v>
      </c>
      <c r="S1383" s="3">
        <f t="shared" si="117"/>
        <v>0.23875546753874707</v>
      </c>
      <c r="T1383" s="20">
        <f t="shared" si="118"/>
        <v>7.7882732798775833E-2</v>
      </c>
      <c r="U1383" s="20"/>
    </row>
    <row r="1384" spans="15:21" x14ac:dyDescent="0.35">
      <c r="O1384" s="18">
        <v>5</v>
      </c>
      <c r="P1384" s="18">
        <f t="shared" si="116"/>
        <v>6910</v>
      </c>
      <c r="Q1384" s="3">
        <f t="shared" si="119"/>
        <v>3.8871315659068272E-6</v>
      </c>
      <c r="R1384" s="3">
        <f t="shared" si="115"/>
        <v>1.9435657829534138E-5</v>
      </c>
      <c r="S1384" s="3">
        <f t="shared" si="117"/>
        <v>0.23877493822194676</v>
      </c>
      <c r="T1384" s="20">
        <f t="shared" si="118"/>
        <v>7.7742631318136537E-2</v>
      </c>
      <c r="U1384" s="20"/>
    </row>
    <row r="1385" spans="15:21" x14ac:dyDescent="0.35">
      <c r="O1385" s="18">
        <v>5</v>
      </c>
      <c r="P1385" s="18">
        <f t="shared" si="116"/>
        <v>6915</v>
      </c>
      <c r="Q1385" s="3">
        <f t="shared" si="119"/>
        <v>3.8801400351686053E-6</v>
      </c>
      <c r="R1385" s="3">
        <f t="shared" si="115"/>
        <v>1.9400700175843026E-5</v>
      </c>
      <c r="S1385" s="3">
        <f t="shared" si="117"/>
        <v>0.23879437387977628</v>
      </c>
      <c r="T1385" s="20">
        <f t="shared" si="118"/>
        <v>7.7602800703372124E-2</v>
      </c>
      <c r="U1385" s="20"/>
    </row>
    <row r="1386" spans="15:21" x14ac:dyDescent="0.35">
      <c r="O1386" s="18">
        <v>5</v>
      </c>
      <c r="P1386" s="18">
        <f t="shared" si="116"/>
        <v>6920</v>
      </c>
      <c r="Q1386" s="3">
        <f t="shared" si="119"/>
        <v>3.873162018091763E-6</v>
      </c>
      <c r="R1386" s="3">
        <f t="shared" si="115"/>
        <v>1.9365810090458813E-5</v>
      </c>
      <c r="S1386" s="3">
        <f t="shared" si="117"/>
        <v>0.23881377457995212</v>
      </c>
      <c r="T1386" s="20">
        <f t="shared" si="118"/>
        <v>7.7463240361835259E-2</v>
      </c>
      <c r="U1386" s="20"/>
    </row>
    <row r="1387" spans="15:21" x14ac:dyDescent="0.35">
      <c r="O1387" s="18">
        <v>5</v>
      </c>
      <c r="P1387" s="18">
        <f t="shared" si="116"/>
        <v>6925</v>
      </c>
      <c r="Q1387" s="3">
        <f t="shared" si="119"/>
        <v>3.8661974851215463E-6</v>
      </c>
      <c r="R1387" s="3">
        <f t="shared" si="115"/>
        <v>1.933098742560773E-5</v>
      </c>
      <c r="S1387" s="3">
        <f t="shared" si="117"/>
        <v>0.23883314039004258</v>
      </c>
      <c r="T1387" s="20">
        <f t="shared" si="118"/>
        <v>7.7323949702430922E-2</v>
      </c>
      <c r="U1387" s="20"/>
    </row>
    <row r="1388" spans="15:21" x14ac:dyDescent="0.35">
      <c r="O1388" s="18">
        <v>5</v>
      </c>
      <c r="P1388" s="18">
        <f t="shared" si="116"/>
        <v>6930</v>
      </c>
      <c r="Q1388" s="3">
        <f t="shared" si="119"/>
        <v>3.8592464067805691E-6</v>
      </c>
      <c r="R1388" s="3">
        <f t="shared" si="115"/>
        <v>1.9296232033902847E-5</v>
      </c>
      <c r="S1388" s="3">
        <f t="shared" si="117"/>
        <v>0.23885247137746818</v>
      </c>
      <c r="T1388" s="20">
        <f t="shared" si="118"/>
        <v>7.7184928135611383E-2</v>
      </c>
      <c r="U1388" s="20"/>
    </row>
    <row r="1389" spans="15:21" x14ac:dyDescent="0.35">
      <c r="O1389" s="18">
        <v>5</v>
      </c>
      <c r="P1389" s="18">
        <f t="shared" si="116"/>
        <v>6935</v>
      </c>
      <c r="Q1389" s="3">
        <f t="shared" si="119"/>
        <v>3.8523087536685498E-6</v>
      </c>
      <c r="R1389" s="3">
        <f t="shared" si="115"/>
        <v>1.9261543768342749E-5</v>
      </c>
      <c r="S1389" s="3">
        <f t="shared" si="117"/>
        <v>0.23887176760950207</v>
      </c>
      <c r="T1389" s="20">
        <f t="shared" si="118"/>
        <v>7.7046175073370998E-2</v>
      </c>
      <c r="U1389" s="20"/>
    </row>
    <row r="1390" spans="15:21" x14ac:dyDescent="0.35">
      <c r="O1390" s="18">
        <v>5</v>
      </c>
      <c r="P1390" s="18">
        <f t="shared" si="116"/>
        <v>6940</v>
      </c>
      <c r="Q1390" s="3">
        <f t="shared" si="119"/>
        <v>3.8453844964620642E-6</v>
      </c>
      <c r="R1390" s="3">
        <f t="shared" si="115"/>
        <v>1.9226922482310322E-5</v>
      </c>
      <c r="S1390" s="3">
        <f t="shared" si="117"/>
        <v>0.23889102915327043</v>
      </c>
      <c r="T1390" s="20">
        <f t="shared" si="118"/>
        <v>7.6907689929241282E-2</v>
      </c>
      <c r="U1390" s="20"/>
    </row>
    <row r="1391" spans="15:21" x14ac:dyDescent="0.35">
      <c r="O1391" s="18">
        <v>5</v>
      </c>
      <c r="P1391" s="18">
        <f t="shared" si="116"/>
        <v>6945</v>
      </c>
      <c r="Q1391" s="3">
        <f t="shared" si="119"/>
        <v>3.8384736059143183E-6</v>
      </c>
      <c r="R1391" s="3">
        <f t="shared" si="115"/>
        <v>1.9192368029571592E-5</v>
      </c>
      <c r="S1391" s="3">
        <f t="shared" si="117"/>
        <v>0.23891025607575275</v>
      </c>
      <c r="T1391" s="20">
        <f t="shared" si="118"/>
        <v>7.6769472118286358E-2</v>
      </c>
      <c r="U1391" s="20"/>
    </row>
    <row r="1392" spans="15:21" x14ac:dyDescent="0.35">
      <c r="O1392" s="18">
        <v>5</v>
      </c>
      <c r="P1392" s="18">
        <f t="shared" si="116"/>
        <v>6950</v>
      </c>
      <c r="Q1392" s="3">
        <f t="shared" si="119"/>
        <v>3.8315760528548822E-6</v>
      </c>
      <c r="R1392" s="3">
        <f t="shared" si="115"/>
        <v>1.9157880264274412E-5</v>
      </c>
      <c r="S1392" s="3">
        <f t="shared" si="117"/>
        <v>0.23892944844378233</v>
      </c>
      <c r="T1392" s="20">
        <f t="shared" si="118"/>
        <v>7.6631521057097654E-2</v>
      </c>
      <c r="U1392" s="20"/>
    </row>
    <row r="1393" spans="15:21" x14ac:dyDescent="0.35">
      <c r="O1393" s="18">
        <v>5</v>
      </c>
      <c r="P1393" s="18">
        <f t="shared" si="116"/>
        <v>6955</v>
      </c>
      <c r="Q1393" s="3">
        <f t="shared" si="119"/>
        <v>3.8246918081894482E-6</v>
      </c>
      <c r="R1393" s="3">
        <f t="shared" si="115"/>
        <v>1.9123459040947242E-5</v>
      </c>
      <c r="S1393" s="3">
        <f t="shared" si="117"/>
        <v>0.2389486063240466</v>
      </c>
      <c r="T1393" s="20">
        <f t="shared" si="118"/>
        <v>7.6493836163788978E-2</v>
      </c>
      <c r="U1393" s="20"/>
    </row>
    <row r="1394" spans="15:21" x14ac:dyDescent="0.35">
      <c r="O1394" s="18">
        <v>5</v>
      </c>
      <c r="P1394" s="18">
        <f t="shared" si="116"/>
        <v>6960</v>
      </c>
      <c r="Q1394" s="3">
        <f t="shared" si="119"/>
        <v>3.8178208428995737E-6</v>
      </c>
      <c r="R1394" s="3">
        <f t="shared" si="115"/>
        <v>1.9089104214497867E-5</v>
      </c>
      <c r="S1394" s="3">
        <f t="shared" si="117"/>
        <v>0.23896772978308756</v>
      </c>
      <c r="T1394" s="20">
        <f t="shared" si="118"/>
        <v>7.6356416857991466E-2</v>
      </c>
      <c r="U1394" s="20"/>
    </row>
    <row r="1395" spans="15:21" x14ac:dyDescent="0.35">
      <c r="O1395" s="18">
        <v>5</v>
      </c>
      <c r="P1395" s="18">
        <f t="shared" si="116"/>
        <v>6965</v>
      </c>
      <c r="Q1395" s="3">
        <f t="shared" si="119"/>
        <v>3.810963128042464E-6</v>
      </c>
      <c r="R1395" s="3">
        <f t="shared" si="115"/>
        <v>1.905481564021232E-5</v>
      </c>
      <c r="S1395" s="3">
        <f t="shared" si="117"/>
        <v>0.23898681888730205</v>
      </c>
      <c r="T1395" s="20">
        <f t="shared" si="118"/>
        <v>7.621926256084928E-2</v>
      </c>
      <c r="U1395" s="20"/>
    </row>
    <row r="1396" spans="15:21" x14ac:dyDescent="0.35">
      <c r="O1396" s="18">
        <v>5</v>
      </c>
      <c r="P1396" s="18">
        <f t="shared" si="116"/>
        <v>6970</v>
      </c>
      <c r="Q1396" s="3">
        <f t="shared" si="119"/>
        <v>3.8041186347507081E-6</v>
      </c>
      <c r="R1396" s="3">
        <f t="shared" si="115"/>
        <v>1.9020593173753542E-5</v>
      </c>
      <c r="S1396" s="3">
        <f t="shared" si="117"/>
        <v>0.23900587370294227</v>
      </c>
      <c r="T1396" s="20">
        <f t="shared" si="118"/>
        <v>7.6082372695014167E-2</v>
      </c>
      <c r="U1396" s="20"/>
    </row>
    <row r="1397" spans="15:21" x14ac:dyDescent="0.35">
      <c r="O1397" s="18">
        <v>5</v>
      </c>
      <c r="P1397" s="18">
        <f t="shared" si="116"/>
        <v>6975</v>
      </c>
      <c r="Q1397" s="3">
        <f t="shared" si="119"/>
        <v>3.7972873342320494E-6</v>
      </c>
      <c r="R1397" s="3">
        <f t="shared" si="115"/>
        <v>1.8986436671160247E-5</v>
      </c>
      <c r="S1397" s="3">
        <f t="shared" si="117"/>
        <v>0.23902489429611601</v>
      </c>
      <c r="T1397" s="20">
        <f t="shared" si="118"/>
        <v>7.5945746684640991E-2</v>
      </c>
      <c r="U1397" s="20"/>
    </row>
    <row r="1398" spans="15:21" x14ac:dyDescent="0.35">
      <c r="O1398" s="18">
        <v>5</v>
      </c>
      <c r="P1398" s="18">
        <f t="shared" si="116"/>
        <v>6980</v>
      </c>
      <c r="Q1398" s="3">
        <f t="shared" si="119"/>
        <v>3.7904691977691207E-6</v>
      </c>
      <c r="R1398" s="3">
        <f t="shared" si="115"/>
        <v>1.8952345988845603E-5</v>
      </c>
      <c r="S1398" s="3">
        <f t="shared" si="117"/>
        <v>0.23904388073278718</v>
      </c>
      <c r="T1398" s="20">
        <f t="shared" si="118"/>
        <v>7.580938395538242E-2</v>
      </c>
      <c r="U1398" s="20"/>
    </row>
    <row r="1399" spans="15:21" x14ac:dyDescent="0.35">
      <c r="O1399" s="18">
        <v>5</v>
      </c>
      <c r="P1399" s="18">
        <f t="shared" si="116"/>
        <v>6985</v>
      </c>
      <c r="Q1399" s="3">
        <f t="shared" si="119"/>
        <v>3.7836641967192496E-6</v>
      </c>
      <c r="R1399" s="3">
        <f t="shared" si="115"/>
        <v>1.8918320983596247E-5</v>
      </c>
      <c r="S1399" s="3">
        <f t="shared" si="117"/>
        <v>0.23906283307877602</v>
      </c>
      <c r="T1399" s="20">
        <f t="shared" si="118"/>
        <v>7.5673283934384994E-2</v>
      </c>
      <c r="U1399" s="20"/>
    </row>
    <row r="1400" spans="15:21" x14ac:dyDescent="0.35">
      <c r="O1400" s="18">
        <v>5</v>
      </c>
      <c r="P1400" s="18">
        <f t="shared" si="116"/>
        <v>6990</v>
      </c>
      <c r="Q1400" s="3">
        <f t="shared" si="119"/>
        <v>3.776872302514162E-6</v>
      </c>
      <c r="R1400" s="3">
        <f t="shared" si="115"/>
        <v>1.8884361512570809E-5</v>
      </c>
      <c r="S1400" s="3">
        <f t="shared" si="117"/>
        <v>0.23908175139975962</v>
      </c>
      <c r="T1400" s="20">
        <f t="shared" si="118"/>
        <v>7.553744605028323E-2</v>
      </c>
      <c r="U1400" s="20"/>
    </row>
    <row r="1401" spans="15:21" x14ac:dyDescent="0.35">
      <c r="O1401" s="18">
        <v>5</v>
      </c>
      <c r="P1401" s="18">
        <f t="shared" si="116"/>
        <v>6995</v>
      </c>
      <c r="Q1401" s="3">
        <f t="shared" si="119"/>
        <v>3.7700934866598027E-6</v>
      </c>
      <c r="R1401" s="3">
        <f t="shared" si="115"/>
        <v>1.8850467433299015E-5</v>
      </c>
      <c r="S1401" s="3">
        <f t="shared" si="117"/>
        <v>0.23910063576127219</v>
      </c>
      <c r="T1401" s="20">
        <f t="shared" si="118"/>
        <v>7.5401869733196056E-2</v>
      </c>
      <c r="U1401" s="20"/>
    </row>
    <row r="1402" spans="15:21" x14ac:dyDescent="0.35">
      <c r="O1402" s="18">
        <v>5</v>
      </c>
      <c r="P1402" s="18">
        <f t="shared" si="116"/>
        <v>7000</v>
      </c>
      <c r="Q1402" s="3">
        <f t="shared" si="119"/>
        <v>3.763327720736043E-6</v>
      </c>
      <c r="R1402" s="3">
        <f t="shared" si="115"/>
        <v>1.8816638603680215E-5</v>
      </c>
      <c r="S1402" s="3">
        <f t="shared" si="117"/>
        <v>0.23911948622870549</v>
      </c>
      <c r="T1402" s="20">
        <f t="shared" si="118"/>
        <v>7.5266554414720868E-2</v>
      </c>
      <c r="U1402" s="20"/>
    </row>
    <row r="1403" spans="15:21" x14ac:dyDescent="0.35">
      <c r="Q1403" s="3"/>
      <c r="R1403" s="3"/>
      <c r="S1403" s="3"/>
      <c r="T1403" s="46"/>
      <c r="U1403" s="46"/>
    </row>
    <row r="1404" spans="15:21" x14ac:dyDescent="0.35">
      <c r="Q1404" s="3"/>
      <c r="R1404" s="3"/>
      <c r="S1404" s="3"/>
      <c r="T1404" s="46"/>
      <c r="U1404" s="46"/>
    </row>
    <row r="1405" spans="15:21" x14ac:dyDescent="0.35">
      <c r="Q1405" s="3"/>
      <c r="R1405" s="3"/>
      <c r="S1405" s="3"/>
      <c r="T1405" s="46"/>
      <c r="U1405" s="46"/>
    </row>
    <row r="1406" spans="15:21" x14ac:dyDescent="0.35">
      <c r="Q1406" s="3"/>
      <c r="R1406" s="3"/>
      <c r="S1406" s="3"/>
      <c r="T1406" s="46"/>
      <c r="U1406" s="46"/>
    </row>
    <row r="1407" spans="15:21" x14ac:dyDescent="0.35">
      <c r="Q1407" s="3"/>
      <c r="R1407" s="3"/>
      <c r="S1407" s="3"/>
      <c r="T1407" s="46"/>
      <c r="U1407" s="46"/>
    </row>
    <row r="1408" spans="15:21" x14ac:dyDescent="0.35">
      <c r="Q1408" s="3"/>
      <c r="R1408" s="3"/>
      <c r="S1408" s="3"/>
      <c r="T1408" s="46"/>
      <c r="U1408" s="46"/>
    </row>
    <row r="1409" spans="17:21" x14ac:dyDescent="0.35">
      <c r="Q1409" s="3"/>
      <c r="R1409" s="3"/>
      <c r="S1409" s="3"/>
      <c r="T1409" s="46"/>
      <c r="U1409" s="46"/>
    </row>
    <row r="1410" spans="17:21" x14ac:dyDescent="0.35">
      <c r="Q1410" s="3"/>
      <c r="R1410" s="3"/>
      <c r="S1410" s="3"/>
      <c r="T1410" s="46"/>
      <c r="U1410" s="46"/>
    </row>
    <row r="1411" spans="17:21" x14ac:dyDescent="0.35">
      <c r="Q1411" s="3"/>
      <c r="R1411" s="3"/>
      <c r="S1411" s="3"/>
      <c r="T1411" s="46"/>
      <c r="U1411" s="46"/>
    </row>
    <row r="1412" spans="17:21" x14ac:dyDescent="0.35">
      <c r="Q1412" s="3"/>
      <c r="R1412" s="3"/>
      <c r="S1412" s="3"/>
      <c r="T1412" s="46"/>
      <c r="U1412" s="46"/>
    </row>
    <row r="1413" spans="17:21" x14ac:dyDescent="0.35">
      <c r="Q1413" s="3"/>
      <c r="R1413" s="3"/>
      <c r="S1413" s="3"/>
      <c r="T1413" s="46"/>
      <c r="U1413" s="46"/>
    </row>
    <row r="1414" spans="17:21" x14ac:dyDescent="0.35">
      <c r="Q1414" s="3"/>
      <c r="R1414" s="3"/>
      <c r="S1414" s="3"/>
      <c r="T1414" s="46"/>
      <c r="U1414" s="46"/>
    </row>
    <row r="1415" spans="17:21" x14ac:dyDescent="0.35">
      <c r="Q1415" s="3"/>
      <c r="R1415" s="3"/>
      <c r="S1415" s="3"/>
      <c r="T1415" s="46"/>
      <c r="U1415" s="46"/>
    </row>
    <row r="1416" spans="17:21" x14ac:dyDescent="0.35">
      <c r="Q1416" s="3"/>
      <c r="R1416" s="3"/>
      <c r="S1416" s="3"/>
      <c r="T1416" s="46"/>
      <c r="U1416" s="46"/>
    </row>
    <row r="1417" spans="17:21" x14ac:dyDescent="0.35">
      <c r="Q1417" s="3"/>
      <c r="R1417" s="3"/>
      <c r="S1417" s="3"/>
      <c r="T1417" s="46"/>
      <c r="U1417" s="46"/>
    </row>
    <row r="1418" spans="17:21" x14ac:dyDescent="0.35">
      <c r="Q1418" s="3"/>
      <c r="R1418" s="3"/>
      <c r="S1418" s="3"/>
      <c r="T1418" s="46"/>
      <c r="U1418" s="46"/>
    </row>
    <row r="1419" spans="17:21" x14ac:dyDescent="0.35">
      <c r="Q1419" s="3"/>
      <c r="R1419" s="3"/>
      <c r="S1419" s="3"/>
      <c r="T1419" s="46"/>
      <c r="U1419" s="46"/>
    </row>
    <row r="1420" spans="17:21" x14ac:dyDescent="0.35">
      <c r="Q1420" s="3"/>
      <c r="R1420" s="3"/>
      <c r="S1420" s="3"/>
      <c r="T1420" s="46"/>
      <c r="U1420" s="46"/>
    </row>
    <row r="1421" spans="17:21" x14ac:dyDescent="0.35">
      <c r="Q1421" s="3"/>
      <c r="R1421" s="3"/>
      <c r="S1421" s="3"/>
      <c r="T1421" s="46"/>
      <c r="U1421" s="46"/>
    </row>
    <row r="1422" spans="17:21" x14ac:dyDescent="0.35">
      <c r="Q1422" s="3"/>
      <c r="R1422" s="3"/>
      <c r="S1422" s="3"/>
      <c r="T1422" s="46"/>
      <c r="U1422" s="46"/>
    </row>
    <row r="1423" spans="17:21" x14ac:dyDescent="0.35">
      <c r="Q1423" s="3"/>
      <c r="R1423" s="3"/>
      <c r="S1423" s="3"/>
      <c r="T1423" s="46"/>
      <c r="U1423" s="46"/>
    </row>
    <row r="1424" spans="17:21" x14ac:dyDescent="0.35">
      <c r="Q1424" s="3"/>
      <c r="R1424" s="3"/>
      <c r="S1424" s="3"/>
      <c r="T1424" s="46"/>
      <c r="U1424" s="46"/>
    </row>
    <row r="1425" spans="17:21" x14ac:dyDescent="0.35">
      <c r="Q1425" s="3"/>
      <c r="R1425" s="3"/>
      <c r="S1425" s="3"/>
      <c r="T1425" s="46"/>
      <c r="U1425" s="46"/>
    </row>
    <row r="1426" spans="17:21" x14ac:dyDescent="0.35">
      <c r="Q1426" s="3"/>
      <c r="R1426" s="3"/>
      <c r="S1426" s="3"/>
      <c r="T1426" s="46"/>
      <c r="U1426" s="46"/>
    </row>
    <row r="1427" spans="17:21" x14ac:dyDescent="0.35">
      <c r="Q1427" s="3"/>
      <c r="R1427" s="3"/>
      <c r="S1427" s="3"/>
      <c r="T1427" s="46"/>
      <c r="U1427" s="46"/>
    </row>
    <row r="1428" spans="17:21" x14ac:dyDescent="0.35">
      <c r="Q1428" s="3"/>
      <c r="R1428" s="3"/>
      <c r="S1428" s="3"/>
      <c r="T1428" s="46"/>
      <c r="U1428" s="46"/>
    </row>
    <row r="1429" spans="17:21" x14ac:dyDescent="0.35">
      <c r="Q1429" s="3"/>
      <c r="R1429" s="3"/>
      <c r="S1429" s="3"/>
      <c r="T1429" s="46"/>
      <c r="U1429" s="46"/>
    </row>
    <row r="1430" spans="17:21" x14ac:dyDescent="0.35">
      <c r="Q1430" s="3"/>
      <c r="R1430" s="3"/>
      <c r="S1430" s="3"/>
      <c r="T1430" s="46"/>
      <c r="U1430" s="46"/>
    </row>
    <row r="1431" spans="17:21" x14ac:dyDescent="0.35">
      <c r="Q1431" s="3"/>
      <c r="R1431" s="3"/>
      <c r="S1431" s="3"/>
      <c r="T1431" s="46"/>
      <c r="U1431" s="46"/>
    </row>
    <row r="1432" spans="17:21" x14ac:dyDescent="0.35">
      <c r="Q1432" s="3"/>
      <c r="R1432" s="3"/>
      <c r="S1432" s="3"/>
      <c r="T1432" s="46"/>
      <c r="U1432" s="46"/>
    </row>
    <row r="1433" spans="17:21" x14ac:dyDescent="0.35">
      <c r="Q1433" s="3"/>
      <c r="R1433" s="3"/>
      <c r="S1433" s="3"/>
      <c r="T1433" s="46"/>
      <c r="U1433" s="46"/>
    </row>
    <row r="1434" spans="17:21" x14ac:dyDescent="0.35">
      <c r="Q1434" s="3"/>
      <c r="R1434" s="3"/>
      <c r="S1434" s="3"/>
      <c r="T1434" s="46"/>
      <c r="U1434" s="46"/>
    </row>
    <row r="1435" spans="17:21" x14ac:dyDescent="0.35">
      <c r="Q1435" s="3"/>
      <c r="R1435" s="3"/>
      <c r="S1435" s="3"/>
      <c r="T1435" s="46"/>
      <c r="U1435" s="46"/>
    </row>
    <row r="1436" spans="17:21" x14ac:dyDescent="0.35">
      <c r="Q1436" s="3"/>
      <c r="R1436" s="3"/>
      <c r="S1436" s="3"/>
      <c r="T1436" s="46"/>
      <c r="U1436" s="46"/>
    </row>
    <row r="1437" spans="17:21" x14ac:dyDescent="0.35">
      <c r="Q1437" s="3"/>
      <c r="R1437" s="3"/>
      <c r="S1437" s="3"/>
      <c r="T1437" s="46"/>
      <c r="U1437" s="46"/>
    </row>
    <row r="1438" spans="17:21" x14ac:dyDescent="0.35">
      <c r="Q1438" s="3"/>
      <c r="R1438" s="3"/>
      <c r="S1438" s="3"/>
      <c r="T1438" s="46"/>
      <c r="U1438" s="46"/>
    </row>
    <row r="1439" spans="17:21" x14ac:dyDescent="0.35">
      <c r="Q1439" s="3"/>
      <c r="R1439" s="3"/>
      <c r="S1439" s="3"/>
      <c r="T1439" s="46"/>
      <c r="U1439" s="46"/>
    </row>
    <row r="1440" spans="17:21" x14ac:dyDescent="0.35">
      <c r="Q1440" s="3"/>
      <c r="R1440" s="3"/>
      <c r="S1440" s="3"/>
      <c r="T1440" s="46"/>
      <c r="U1440" s="46"/>
    </row>
    <row r="1441" spans="17:21" x14ac:dyDescent="0.35">
      <c r="Q1441" s="3"/>
      <c r="R1441" s="3"/>
      <c r="S1441" s="3"/>
      <c r="T1441" s="46"/>
      <c r="U1441" s="46"/>
    </row>
    <row r="1442" spans="17:21" x14ac:dyDescent="0.35">
      <c r="Q1442" s="3"/>
      <c r="R1442" s="3"/>
      <c r="S1442" s="3"/>
      <c r="T1442" s="46"/>
      <c r="U1442" s="46"/>
    </row>
    <row r="1443" spans="17:21" x14ac:dyDescent="0.35">
      <c r="Q1443" s="3"/>
      <c r="R1443" s="3"/>
      <c r="S1443" s="3"/>
      <c r="T1443" s="46"/>
      <c r="U1443" s="46"/>
    </row>
    <row r="1444" spans="17:21" x14ac:dyDescent="0.35">
      <c r="Q1444" s="3"/>
      <c r="R1444" s="3"/>
      <c r="S1444" s="3"/>
      <c r="T1444" s="46"/>
      <c r="U1444" s="46"/>
    </row>
    <row r="1445" spans="17:21" x14ac:dyDescent="0.35">
      <c r="Q1445" s="3"/>
      <c r="R1445" s="3"/>
      <c r="S1445" s="3"/>
      <c r="T1445" s="46"/>
      <c r="U1445" s="46"/>
    </row>
    <row r="1446" spans="17:21" x14ac:dyDescent="0.35">
      <c r="Q1446" s="3"/>
      <c r="R1446" s="3"/>
      <c r="S1446" s="3"/>
      <c r="T1446" s="46"/>
      <c r="U1446" s="46"/>
    </row>
    <row r="1447" spans="17:21" x14ac:dyDescent="0.35">
      <c r="Q1447" s="3"/>
      <c r="R1447" s="3"/>
      <c r="S1447" s="3"/>
      <c r="T1447" s="46"/>
      <c r="U1447" s="46"/>
    </row>
    <row r="1448" spans="17:21" x14ac:dyDescent="0.35">
      <c r="Q1448" s="3"/>
      <c r="R1448" s="3"/>
      <c r="S1448" s="3"/>
      <c r="T1448" s="46"/>
      <c r="U1448" s="46"/>
    </row>
    <row r="1449" spans="17:21" x14ac:dyDescent="0.35">
      <c r="Q1449" s="3"/>
      <c r="R1449" s="3"/>
      <c r="S1449" s="3"/>
      <c r="T1449" s="46"/>
      <c r="U1449" s="46"/>
    </row>
    <row r="1450" spans="17:21" x14ac:dyDescent="0.35">
      <c r="Q1450" s="3"/>
      <c r="R1450" s="3"/>
      <c r="S1450" s="3"/>
      <c r="T1450" s="46"/>
      <c r="U1450" s="46"/>
    </row>
    <row r="1451" spans="17:21" x14ac:dyDescent="0.35">
      <c r="Q1451" s="3"/>
      <c r="R1451" s="3"/>
      <c r="S1451" s="3"/>
      <c r="T1451" s="46"/>
      <c r="U1451" s="46"/>
    </row>
    <row r="1452" spans="17:21" x14ac:dyDescent="0.35">
      <c r="Q1452" s="3"/>
      <c r="R1452" s="3"/>
      <c r="S1452" s="3"/>
      <c r="T1452" s="46"/>
      <c r="U1452" s="46"/>
    </row>
    <row r="1453" spans="17:21" x14ac:dyDescent="0.35">
      <c r="Q1453" s="3"/>
      <c r="R1453" s="3"/>
      <c r="S1453" s="3"/>
      <c r="T1453" s="46"/>
      <c r="U1453" s="46"/>
    </row>
    <row r="1454" spans="17:21" x14ac:dyDescent="0.35">
      <c r="Q1454" s="3"/>
      <c r="R1454" s="3"/>
      <c r="S1454" s="3"/>
      <c r="T1454" s="46"/>
      <c r="U1454" s="46"/>
    </row>
    <row r="1455" spans="17:21" x14ac:dyDescent="0.35">
      <c r="Q1455" s="3"/>
      <c r="R1455" s="3"/>
      <c r="S1455" s="3"/>
      <c r="T1455" s="46"/>
      <c r="U1455" s="46"/>
    </row>
    <row r="1456" spans="17:21" x14ac:dyDescent="0.35">
      <c r="Q1456" s="3"/>
      <c r="R1456" s="3"/>
      <c r="S1456" s="3"/>
      <c r="T1456" s="46"/>
      <c r="U1456" s="46"/>
    </row>
    <row r="1457" spans="17:21" x14ac:dyDescent="0.35">
      <c r="Q1457" s="3"/>
      <c r="R1457" s="3"/>
      <c r="S1457" s="3"/>
      <c r="T1457" s="46"/>
      <c r="U1457" s="46"/>
    </row>
    <row r="1458" spans="17:21" x14ac:dyDescent="0.35">
      <c r="Q1458" s="3"/>
      <c r="R1458" s="3"/>
      <c r="S1458" s="3"/>
      <c r="T1458" s="46"/>
      <c r="U1458" s="46"/>
    </row>
    <row r="1459" spans="17:21" x14ac:dyDescent="0.35">
      <c r="Q1459" s="3"/>
      <c r="R1459" s="3"/>
      <c r="S1459" s="3"/>
      <c r="T1459" s="46"/>
      <c r="U1459" s="46"/>
    </row>
    <row r="1460" spans="17:21" x14ac:dyDescent="0.35">
      <c r="Q1460" s="3"/>
      <c r="R1460" s="3"/>
      <c r="S1460" s="3"/>
      <c r="T1460" s="46"/>
      <c r="U1460" s="46"/>
    </row>
    <row r="1461" spans="17:21" x14ac:dyDescent="0.35">
      <c r="Q1461" s="3"/>
      <c r="R1461" s="3"/>
      <c r="S1461" s="3"/>
      <c r="T1461" s="46"/>
      <c r="U1461" s="46"/>
    </row>
    <row r="1462" spans="17:21" x14ac:dyDescent="0.35">
      <c r="Q1462" s="3"/>
      <c r="R1462" s="3"/>
      <c r="S1462" s="3"/>
      <c r="T1462" s="46"/>
      <c r="U1462" s="46"/>
    </row>
    <row r="1463" spans="17:21" x14ac:dyDescent="0.35">
      <c r="Q1463" s="3"/>
      <c r="R1463" s="3"/>
      <c r="S1463" s="3"/>
      <c r="T1463" s="46"/>
      <c r="U1463" s="46"/>
    </row>
    <row r="1464" spans="17:21" x14ac:dyDescent="0.35">
      <c r="Q1464" s="3"/>
      <c r="R1464" s="3"/>
      <c r="S1464" s="3"/>
      <c r="T1464" s="46"/>
      <c r="U1464" s="46"/>
    </row>
    <row r="1465" spans="17:21" x14ac:dyDescent="0.35">
      <c r="Q1465" s="3"/>
      <c r="R1465" s="3"/>
      <c r="S1465" s="3"/>
      <c r="T1465" s="46"/>
      <c r="U1465" s="46"/>
    </row>
    <row r="1466" spans="17:21" x14ac:dyDescent="0.35">
      <c r="Q1466" s="3"/>
      <c r="R1466" s="3"/>
      <c r="S1466" s="3"/>
      <c r="T1466" s="46"/>
      <c r="U1466" s="46"/>
    </row>
    <row r="1467" spans="17:21" x14ac:dyDescent="0.35">
      <c r="Q1467" s="3"/>
      <c r="R1467" s="3"/>
      <c r="S1467" s="3"/>
      <c r="T1467" s="46"/>
      <c r="U1467" s="46"/>
    </row>
    <row r="1468" spans="17:21" x14ac:dyDescent="0.35">
      <c r="Q1468" s="3"/>
      <c r="R1468" s="3"/>
      <c r="S1468" s="3"/>
      <c r="T1468" s="46"/>
      <c r="U1468" s="46"/>
    </row>
    <row r="1469" spans="17:21" x14ac:dyDescent="0.35">
      <c r="Q1469" s="3"/>
      <c r="R1469" s="3"/>
      <c r="S1469" s="3"/>
      <c r="T1469" s="46"/>
      <c r="U1469" s="46"/>
    </row>
    <row r="1470" spans="17:21" x14ac:dyDescent="0.35">
      <c r="Q1470" s="3"/>
      <c r="R1470" s="3"/>
      <c r="S1470" s="3"/>
      <c r="T1470" s="46"/>
      <c r="U1470" s="46"/>
    </row>
    <row r="1471" spans="17:21" x14ac:dyDescent="0.35">
      <c r="Q1471" s="3"/>
      <c r="R1471" s="3"/>
      <c r="S1471" s="3"/>
      <c r="T1471" s="46"/>
      <c r="U1471" s="46"/>
    </row>
    <row r="1472" spans="17:21" x14ac:dyDescent="0.35">
      <c r="Q1472" s="3"/>
      <c r="R1472" s="3"/>
      <c r="S1472" s="3"/>
      <c r="T1472" s="46"/>
      <c r="U1472" s="46"/>
    </row>
    <row r="1473" spans="17:21" x14ac:dyDescent="0.35">
      <c r="Q1473" s="3"/>
      <c r="R1473" s="3"/>
      <c r="S1473" s="3"/>
      <c r="T1473" s="46"/>
      <c r="U1473" s="46"/>
    </row>
    <row r="1474" spans="17:21" x14ac:dyDescent="0.35">
      <c r="Q1474" s="3"/>
      <c r="R1474" s="3"/>
      <c r="S1474" s="3"/>
      <c r="T1474" s="46"/>
      <c r="U1474" s="46"/>
    </row>
    <row r="1475" spans="17:21" x14ac:dyDescent="0.35">
      <c r="Q1475" s="3"/>
      <c r="R1475" s="3"/>
      <c r="S1475" s="3"/>
      <c r="T1475" s="46"/>
      <c r="U1475" s="46"/>
    </row>
    <row r="1476" spans="17:21" x14ac:dyDescent="0.35">
      <c r="Q1476" s="3"/>
      <c r="R1476" s="3"/>
      <c r="S1476" s="3"/>
      <c r="T1476" s="46"/>
      <c r="U1476" s="46"/>
    </row>
    <row r="1477" spans="17:21" x14ac:dyDescent="0.35">
      <c r="Q1477" s="3"/>
      <c r="R1477" s="3"/>
      <c r="S1477" s="3"/>
      <c r="T1477" s="46"/>
      <c r="U1477" s="46"/>
    </row>
    <row r="1478" spans="17:21" x14ac:dyDescent="0.35">
      <c r="Q1478" s="3"/>
      <c r="R1478" s="3"/>
      <c r="S1478" s="3"/>
      <c r="T1478" s="46"/>
      <c r="U1478" s="46"/>
    </row>
    <row r="1479" spans="17:21" x14ac:dyDescent="0.35">
      <c r="Q1479" s="3"/>
      <c r="R1479" s="3"/>
      <c r="S1479" s="3"/>
      <c r="T1479" s="46"/>
      <c r="U1479" s="46"/>
    </row>
    <row r="1480" spans="17:21" x14ac:dyDescent="0.35">
      <c r="Q1480" s="3"/>
      <c r="R1480" s="3"/>
      <c r="S1480" s="3"/>
      <c r="T1480" s="46"/>
      <c r="U1480" s="46"/>
    </row>
    <row r="1481" spans="17:21" x14ac:dyDescent="0.35">
      <c r="Q1481" s="3"/>
      <c r="R1481" s="3"/>
      <c r="S1481" s="3"/>
      <c r="T1481" s="46"/>
      <c r="U1481" s="46"/>
    </row>
    <row r="1482" spans="17:21" x14ac:dyDescent="0.35">
      <c r="Q1482" s="3"/>
      <c r="R1482" s="3"/>
      <c r="S1482" s="3"/>
      <c r="T1482" s="46"/>
      <c r="U1482" s="46"/>
    </row>
    <row r="1483" spans="17:21" x14ac:dyDescent="0.35">
      <c r="Q1483" s="3"/>
      <c r="R1483" s="3"/>
      <c r="S1483" s="3"/>
      <c r="T1483" s="46"/>
      <c r="U1483" s="46"/>
    </row>
    <row r="1484" spans="17:21" x14ac:dyDescent="0.35">
      <c r="Q1484" s="3"/>
      <c r="R1484" s="3"/>
      <c r="S1484" s="3"/>
      <c r="T1484" s="46"/>
      <c r="U1484" s="46"/>
    </row>
    <row r="1485" spans="17:21" x14ac:dyDescent="0.35">
      <c r="Q1485" s="3"/>
      <c r="R1485" s="3"/>
      <c r="S1485" s="3"/>
      <c r="T1485" s="46"/>
      <c r="U1485" s="46"/>
    </row>
    <row r="1486" spans="17:21" x14ac:dyDescent="0.35">
      <c r="Q1486" s="3"/>
      <c r="R1486" s="3"/>
      <c r="S1486" s="3"/>
      <c r="T1486" s="46"/>
      <c r="U1486" s="46"/>
    </row>
    <row r="1487" spans="17:21" x14ac:dyDescent="0.35">
      <c r="Q1487" s="3"/>
      <c r="R1487" s="3"/>
      <c r="S1487" s="3"/>
      <c r="T1487" s="46"/>
      <c r="U1487" s="46"/>
    </row>
    <row r="1488" spans="17:21" x14ac:dyDescent="0.35">
      <c r="Q1488" s="3"/>
      <c r="R1488" s="3"/>
      <c r="S1488" s="3"/>
      <c r="T1488" s="46"/>
      <c r="U1488" s="46"/>
    </row>
    <row r="1489" spans="17:21" x14ac:dyDescent="0.35">
      <c r="Q1489" s="3"/>
      <c r="R1489" s="3"/>
      <c r="S1489" s="3"/>
      <c r="T1489" s="46"/>
      <c r="U1489" s="46"/>
    </row>
    <row r="1490" spans="17:21" x14ac:dyDescent="0.35">
      <c r="Q1490" s="3"/>
      <c r="R1490" s="3"/>
      <c r="S1490" s="3"/>
      <c r="T1490" s="46"/>
      <c r="U1490" s="46"/>
    </row>
    <row r="1491" spans="17:21" x14ac:dyDescent="0.35">
      <c r="Q1491" s="3"/>
      <c r="R1491" s="3"/>
      <c r="S1491" s="3"/>
      <c r="T1491" s="46"/>
      <c r="U1491" s="46"/>
    </row>
    <row r="1492" spans="17:21" x14ac:dyDescent="0.35">
      <c r="Q1492" s="3"/>
      <c r="R1492" s="3"/>
      <c r="S1492" s="3"/>
      <c r="T1492" s="46"/>
      <c r="U1492" s="46"/>
    </row>
    <row r="1493" spans="17:21" x14ac:dyDescent="0.35">
      <c r="Q1493" s="3"/>
      <c r="R1493" s="3"/>
      <c r="S1493" s="3"/>
      <c r="T1493" s="46"/>
      <c r="U1493" s="46"/>
    </row>
    <row r="1494" spans="17:21" x14ac:dyDescent="0.35">
      <c r="Q1494" s="3"/>
      <c r="R1494" s="3"/>
      <c r="S1494" s="3"/>
      <c r="T1494" s="46"/>
      <c r="U1494" s="46"/>
    </row>
    <row r="1495" spans="17:21" x14ac:dyDescent="0.35">
      <c r="Q1495" s="3"/>
      <c r="R1495" s="3"/>
      <c r="S1495" s="3"/>
      <c r="T1495" s="46"/>
      <c r="U1495" s="46"/>
    </row>
    <row r="1496" spans="17:21" x14ac:dyDescent="0.35">
      <c r="Q1496" s="3"/>
      <c r="R1496" s="3"/>
      <c r="S1496" s="3"/>
      <c r="T1496" s="46"/>
      <c r="U1496" s="46"/>
    </row>
    <row r="1497" spans="17:21" x14ac:dyDescent="0.35">
      <c r="Q1497" s="3"/>
      <c r="R1497" s="3"/>
      <c r="S1497" s="3"/>
      <c r="T1497" s="46"/>
      <c r="U1497" s="46"/>
    </row>
  </sheetData>
  <mergeCells count="1">
    <mergeCell ref="A13:B13"/>
  </mergeCells>
  <dataValidations disablePrompts="1" count="1">
    <dataValidation type="list" allowBlank="1" showInputMessage="1" showErrorMessage="1" sqref="B1">
      <formula1>"YES, 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56" r:id="rId4" name="Button 340">
              <controlPr defaultSize="0" print="0" autoFill="0" autoPict="0" macro="[0]!timeseries">
                <anchor moveWithCells="1" sizeWithCells="1">
                  <from>
                    <xdr:col>0</xdr:col>
                    <xdr:colOff>44450</xdr:colOff>
                    <xdr:row>27</xdr:row>
                    <xdr:rowOff>171450</xdr:rowOff>
                  </from>
                  <to>
                    <xdr:col>1</xdr:col>
                    <xdr:colOff>742950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7" r:id="rId5" name="Button 341">
              <controlPr defaultSize="0" print="0" autoFill="0" autoPict="0" macro="[0]!fit">
                <anchor moveWithCells="1" sizeWithCells="1">
                  <from>
                    <xdr:col>0</xdr:col>
                    <xdr:colOff>44450</xdr:colOff>
                    <xdr:row>23</xdr:row>
                    <xdr:rowOff>146050</xdr:rowOff>
                  </from>
                  <to>
                    <xdr:col>1</xdr:col>
                    <xdr:colOff>742950</xdr:colOff>
                    <xdr:row>27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Face Support</vt:lpstr>
    </vt:vector>
  </TitlesOfParts>
  <Company>UGent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DICT</dc:creator>
  <cp:lastModifiedBy>Tiago Dias</cp:lastModifiedBy>
  <dcterms:created xsi:type="dcterms:W3CDTF">2015-06-15T14:25:14Z</dcterms:created>
  <dcterms:modified xsi:type="dcterms:W3CDTF">2017-06-15T22:28:59Z</dcterms:modified>
</cp:coreProperties>
</file>